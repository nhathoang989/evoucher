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D:\An-Quynh-20170210T074805Z-2\LopXe\"/>
    </mc:Choice>
  </mc:AlternateContent>
  <bookViews>
    <workbookView xWindow="0" yWindow="0" windowWidth="24000" windowHeight="9510" firstSheet="1" activeTab="1"/>
  </bookViews>
  <sheets>
    <sheet name="danh sach POSM FC promotion" sheetId="1" state="hidden" r:id="rId1"/>
    <sheet name="Sheet1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'danh sach POSM FC promotion'!$A$3:$S$52</definedName>
    <definedName name="_xlnm._FilterDatabase" localSheetId="1" hidden="1">Sheet1!$B$1:$E$46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9" i="1"/>
  <c r="G13" i="1"/>
  <c r="G17" i="1"/>
  <c r="G18" i="1"/>
  <c r="G21" i="1"/>
  <c r="G25" i="1"/>
  <c r="G29" i="1"/>
  <c r="G33" i="1"/>
  <c r="G35" i="1"/>
  <c r="G37" i="1"/>
  <c r="G41" i="1"/>
  <c r="G45" i="1"/>
  <c r="G4" i="1"/>
  <c r="F6" i="1"/>
  <c r="F8" i="1"/>
  <c r="F10" i="1"/>
  <c r="F12" i="1"/>
  <c r="F14" i="1"/>
  <c r="F16" i="1"/>
  <c r="F18" i="1"/>
  <c r="F25" i="1"/>
  <c r="F26" i="1"/>
  <c r="F28" i="1"/>
  <c r="F29" i="1"/>
  <c r="F32" i="1"/>
  <c r="F35" i="1"/>
  <c r="F36" i="1"/>
  <c r="F38" i="1"/>
  <c r="F40" i="1"/>
  <c r="F42" i="1"/>
  <c r="F44" i="1"/>
  <c r="F46" i="1"/>
  <c r="F48" i="1"/>
  <c r="E5" i="1"/>
  <c r="F5" i="1" s="1"/>
  <c r="E6" i="1"/>
  <c r="G6" i="1" s="1"/>
  <c r="E7" i="1"/>
  <c r="G7" i="1" s="1"/>
  <c r="E8" i="1"/>
  <c r="G8" i="1" s="1"/>
  <c r="E9" i="1"/>
  <c r="F9" i="1" s="1"/>
  <c r="E10" i="1"/>
  <c r="G10" i="1" s="1"/>
  <c r="E11" i="1"/>
  <c r="G11" i="1" s="1"/>
  <c r="E12" i="1"/>
  <c r="G12" i="1" s="1"/>
  <c r="E13" i="1"/>
  <c r="F13" i="1" s="1"/>
  <c r="E14" i="1"/>
  <c r="G14" i="1" s="1"/>
  <c r="E15" i="1"/>
  <c r="G15" i="1" s="1"/>
  <c r="E16" i="1"/>
  <c r="G16" i="1" s="1"/>
  <c r="E17" i="1"/>
  <c r="F17" i="1" s="1"/>
  <c r="E19" i="1"/>
  <c r="G19" i="1" s="1"/>
  <c r="E20" i="1"/>
  <c r="F20" i="1" s="1"/>
  <c r="E21" i="1"/>
  <c r="F21" i="1" s="1"/>
  <c r="E22" i="1"/>
  <c r="G22" i="1" s="1"/>
  <c r="E23" i="1"/>
  <c r="G23" i="1" s="1"/>
  <c r="E24" i="1"/>
  <c r="F24" i="1" s="1"/>
  <c r="E26" i="1"/>
  <c r="G26" i="1" s="1"/>
  <c r="E27" i="1"/>
  <c r="G27" i="1" s="1"/>
  <c r="E28" i="1"/>
  <c r="G28" i="1" s="1"/>
  <c r="E30" i="1"/>
  <c r="G30" i="1" s="1"/>
  <c r="E31" i="1"/>
  <c r="G31" i="1" s="1"/>
  <c r="E32" i="1"/>
  <c r="G32" i="1" s="1"/>
  <c r="E33" i="1"/>
  <c r="F33" i="1" s="1"/>
  <c r="E34" i="1"/>
  <c r="G34" i="1" s="1"/>
  <c r="E36" i="1"/>
  <c r="G36" i="1" s="1"/>
  <c r="E37" i="1"/>
  <c r="F37" i="1" s="1"/>
  <c r="E38" i="1"/>
  <c r="G38" i="1" s="1"/>
  <c r="E39" i="1"/>
  <c r="G39" i="1" s="1"/>
  <c r="E40" i="1"/>
  <c r="G40" i="1" s="1"/>
  <c r="E41" i="1"/>
  <c r="F41" i="1" s="1"/>
  <c r="E42" i="1"/>
  <c r="G42" i="1" s="1"/>
  <c r="E43" i="1"/>
  <c r="G43" i="1" s="1"/>
  <c r="E44" i="1"/>
  <c r="G44" i="1" s="1"/>
  <c r="E45" i="1"/>
  <c r="F45" i="1" s="1"/>
  <c r="E46" i="1"/>
  <c r="G46" i="1" s="1"/>
  <c r="E47" i="1"/>
  <c r="G47" i="1" s="1"/>
  <c r="E48" i="1"/>
  <c r="G48" i="1" s="1"/>
  <c r="E4" i="1"/>
  <c r="F4" i="1" s="1"/>
  <c r="D5" i="1"/>
  <c r="D6" i="1"/>
  <c r="D7" i="1"/>
  <c r="D8" i="1"/>
  <c r="D9" i="1"/>
  <c r="D10" i="1"/>
  <c r="D11" i="1"/>
  <c r="D12" i="1"/>
  <c r="D13" i="1"/>
  <c r="D14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0" i="1"/>
  <c r="D31" i="1"/>
  <c r="D32" i="1"/>
  <c r="D33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" i="1"/>
  <c r="F47" i="1" l="1"/>
  <c r="F43" i="1"/>
  <c r="F39" i="1"/>
  <c r="F31" i="1"/>
  <c r="F27" i="1"/>
  <c r="F23" i="1"/>
  <c r="F19" i="1"/>
  <c r="F15" i="1"/>
  <c r="F11" i="1"/>
  <c r="F7" i="1"/>
  <c r="G24" i="1"/>
  <c r="G20" i="1"/>
  <c r="F34" i="1"/>
  <c r="F30" i="1"/>
  <c r="F22" i="1"/>
  <c r="P5" i="1"/>
  <c r="P6" i="1"/>
  <c r="P7" i="1"/>
  <c r="P9" i="1" l="1"/>
  <c r="P10" i="1"/>
  <c r="P11" i="1"/>
  <c r="P12" i="1"/>
  <c r="P13" i="1"/>
  <c r="P14" i="1"/>
  <c r="P15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6" i="1"/>
  <c r="P40" i="1"/>
  <c r="P42" i="1"/>
  <c r="P43" i="1"/>
  <c r="P46" i="1"/>
  <c r="K42" i="1" l="1"/>
  <c r="K45" i="1"/>
  <c r="K31" i="1"/>
  <c r="K28" i="1"/>
  <c r="K38" i="1"/>
  <c r="K29" i="1"/>
  <c r="K39" i="1"/>
  <c r="L49" i="1"/>
  <c r="O48" i="1"/>
  <c r="N48" i="1"/>
  <c r="O47" i="1"/>
  <c r="N47" i="1"/>
  <c r="K47" i="1"/>
  <c r="O46" i="1"/>
  <c r="N46" i="1"/>
  <c r="O45" i="1"/>
  <c r="N45" i="1"/>
  <c r="O44" i="1"/>
  <c r="L53" i="1" s="1"/>
  <c r="N44" i="1"/>
  <c r="K44" i="1"/>
  <c r="O43" i="1"/>
  <c r="N43" i="1"/>
  <c r="O42" i="1"/>
  <c r="N42" i="1"/>
  <c r="O41" i="1"/>
  <c r="N41" i="1"/>
  <c r="K41" i="1"/>
  <c r="O40" i="1"/>
  <c r="N40" i="1"/>
  <c r="K40" i="1"/>
  <c r="O39" i="1"/>
  <c r="N39" i="1"/>
  <c r="O38" i="1"/>
  <c r="N38" i="1"/>
  <c r="O37" i="1"/>
  <c r="N37" i="1"/>
  <c r="K37" i="1"/>
  <c r="O36" i="1"/>
  <c r="N36" i="1"/>
  <c r="M36" i="1"/>
  <c r="K36" i="1"/>
  <c r="O33" i="1"/>
  <c r="N33" i="1"/>
  <c r="K33" i="1"/>
  <c r="O32" i="1"/>
  <c r="N32" i="1"/>
  <c r="K32" i="1"/>
  <c r="O31" i="1"/>
  <c r="N31" i="1"/>
  <c r="O30" i="1"/>
  <c r="N30" i="1"/>
  <c r="M30" i="1"/>
  <c r="K30" i="1"/>
  <c r="O29" i="1"/>
  <c r="N29" i="1"/>
  <c r="M29" i="1"/>
  <c r="O28" i="1"/>
  <c r="N28" i="1"/>
  <c r="M28" i="1"/>
  <c r="O27" i="1"/>
  <c r="N27" i="1"/>
  <c r="M27" i="1"/>
  <c r="K27" i="1"/>
  <c r="O26" i="1"/>
  <c r="N26" i="1"/>
  <c r="M26" i="1"/>
  <c r="K26" i="1"/>
  <c r="O25" i="1"/>
  <c r="N25" i="1"/>
  <c r="M25" i="1"/>
  <c r="K25" i="1"/>
  <c r="O24" i="1"/>
  <c r="N24" i="1"/>
  <c r="M24" i="1"/>
  <c r="K24" i="1"/>
  <c r="O23" i="1"/>
  <c r="N23" i="1"/>
  <c r="M23" i="1"/>
  <c r="K23" i="1"/>
  <c r="O22" i="1"/>
  <c r="N22" i="1"/>
  <c r="M22" i="1"/>
  <c r="K22" i="1"/>
  <c r="O21" i="1"/>
  <c r="N21" i="1"/>
  <c r="M21" i="1"/>
  <c r="K21" i="1"/>
  <c r="O20" i="1"/>
  <c r="N20" i="1"/>
  <c r="M20" i="1"/>
  <c r="K20" i="1"/>
  <c r="O19" i="1"/>
  <c r="N19" i="1"/>
  <c r="M19" i="1"/>
  <c r="K19" i="1"/>
  <c r="O18" i="1"/>
  <c r="N18" i="1"/>
  <c r="M18" i="1"/>
  <c r="O17" i="1"/>
  <c r="N17" i="1"/>
  <c r="K17" i="1"/>
  <c r="O16" i="1"/>
  <c r="N16" i="1"/>
  <c r="M16" i="1"/>
  <c r="K16" i="1"/>
  <c r="O15" i="1"/>
  <c r="N15" i="1"/>
  <c r="M15" i="1"/>
  <c r="K15" i="1"/>
  <c r="O14" i="1"/>
  <c r="N14" i="1"/>
  <c r="M14" i="1"/>
  <c r="K14" i="1"/>
  <c r="O13" i="1"/>
  <c r="N13" i="1"/>
  <c r="M13" i="1"/>
  <c r="K13" i="1"/>
  <c r="O12" i="1"/>
  <c r="N12" i="1"/>
  <c r="M12" i="1"/>
  <c r="K12" i="1"/>
  <c r="O11" i="1"/>
  <c r="N11" i="1"/>
  <c r="M11" i="1"/>
  <c r="K11" i="1"/>
  <c r="O10" i="1"/>
  <c r="N10" i="1"/>
  <c r="M10" i="1"/>
  <c r="K10" i="1"/>
  <c r="O9" i="1"/>
  <c r="N9" i="1"/>
  <c r="M9" i="1"/>
  <c r="K9" i="1"/>
  <c r="O8" i="1"/>
  <c r="N8" i="1"/>
  <c r="M8" i="1"/>
  <c r="K8" i="1"/>
  <c r="O7" i="1"/>
  <c r="N7" i="1"/>
  <c r="M7" i="1"/>
  <c r="K7" i="1"/>
  <c r="O6" i="1"/>
  <c r="N6" i="1"/>
  <c r="M6" i="1"/>
  <c r="K6" i="1"/>
  <c r="O5" i="1"/>
  <c r="N5" i="1"/>
  <c r="M5" i="1"/>
  <c r="K5" i="1"/>
  <c r="O4" i="1"/>
  <c r="N4" i="1"/>
  <c r="M4" i="1"/>
  <c r="K4" i="1"/>
  <c r="N49" i="1" l="1"/>
  <c r="L51" i="1" s="1"/>
  <c r="L54" i="1" s="1"/>
  <c r="O49" i="1"/>
  <c r="K49" i="1"/>
  <c r="L50" i="1" s="1"/>
  <c r="L55" i="1" l="1"/>
</calcChain>
</file>

<file path=xl/sharedStrings.xml><?xml version="1.0" encoding="utf-8"?>
<sst xmlns="http://schemas.openxmlformats.org/spreadsheetml/2006/main" count="471" uniqueCount="271">
  <si>
    <t>No.</t>
  </si>
  <si>
    <t>Cus ID</t>
  </si>
  <si>
    <t>Short Name</t>
  </si>
  <si>
    <t>Sales Channel</t>
  </si>
  <si>
    <t>PIC (Name)</t>
  </si>
  <si>
    <t>Province</t>
  </si>
  <si>
    <t>MNGOC</t>
  </si>
  <si>
    <t>Minh Ngoc</t>
  </si>
  <si>
    <t>BSL</t>
  </si>
  <si>
    <t>NMLong</t>
  </si>
  <si>
    <t>Hai Phong</t>
  </si>
  <si>
    <t>NQUOC</t>
  </si>
  <si>
    <t>Nam Quoc</t>
  </si>
  <si>
    <t>TTHien</t>
  </si>
  <si>
    <t>Binh Duong</t>
  </si>
  <si>
    <t>TNGHIA</t>
  </si>
  <si>
    <t>Tin Nghia</t>
  </si>
  <si>
    <t>Dak Lak</t>
  </si>
  <si>
    <t>TPHUNG</t>
  </si>
  <si>
    <t>Tay Ninh</t>
  </si>
  <si>
    <t>XTUNG</t>
  </si>
  <si>
    <t>Ha Noi</t>
  </si>
  <si>
    <t>BHIEN</t>
  </si>
  <si>
    <t>Bich Hien</t>
  </si>
  <si>
    <t>NQTruong</t>
  </si>
  <si>
    <t>Da Nang</t>
  </si>
  <si>
    <t>DCHU</t>
  </si>
  <si>
    <t>Dan Chu</t>
  </si>
  <si>
    <t>NHKhanh</t>
  </si>
  <si>
    <t>OTO24</t>
  </si>
  <si>
    <t>Autocare24</t>
  </si>
  <si>
    <t>VDTuong</t>
  </si>
  <si>
    <t>Can Tho</t>
  </si>
  <si>
    <t>TLY</t>
  </si>
  <si>
    <t>Thuan Ly</t>
  </si>
  <si>
    <t>Gia Lai</t>
  </si>
  <si>
    <t>TNKHUONG</t>
  </si>
  <si>
    <t>Tan Nam Khuong</t>
  </si>
  <si>
    <t>THVu</t>
  </si>
  <si>
    <t>Dong Nai</t>
  </si>
  <si>
    <t>TPHUONG</t>
  </si>
  <si>
    <t>Thai Phuong</t>
  </si>
  <si>
    <t>YPHONG</t>
  </si>
  <si>
    <t>Ho Chi Minh</t>
  </si>
  <si>
    <t>VLOITIRE</t>
  </si>
  <si>
    <t>Lop Xe Van Loi</t>
  </si>
  <si>
    <t>SMEM</t>
  </si>
  <si>
    <t>Sao Mai Em</t>
  </si>
  <si>
    <t>TNHai</t>
  </si>
  <si>
    <t>Khanh Hoa</t>
  </si>
  <si>
    <t>DTHAO</t>
  </si>
  <si>
    <t>Dang Thao</t>
  </si>
  <si>
    <t>BSP</t>
  </si>
  <si>
    <t>Quang Tri</t>
  </si>
  <si>
    <t>HLINH</t>
  </si>
  <si>
    <t>Hoang Linh</t>
  </si>
  <si>
    <t>An Giang</t>
  </si>
  <si>
    <t>HTAN</t>
  </si>
  <si>
    <t>Huynh Tan</t>
  </si>
  <si>
    <t>Ba Ria - Vung Tau</t>
  </si>
  <si>
    <t>PHAI</t>
  </si>
  <si>
    <t>Phuoc Hai</t>
  </si>
  <si>
    <t>QVINH</t>
  </si>
  <si>
    <t>Quang Vinh</t>
  </si>
  <si>
    <t>NATuan</t>
  </si>
  <si>
    <t>Thanh Hoa</t>
  </si>
  <si>
    <t>AVNHAT</t>
  </si>
  <si>
    <t>An Viet Nhat</t>
  </si>
  <si>
    <t>GKHOA</t>
  </si>
  <si>
    <t>Gia Khoa</t>
  </si>
  <si>
    <t>HHUNG</t>
  </si>
  <si>
    <t>Hoang Hung</t>
  </si>
  <si>
    <t>MDUNG</t>
  </si>
  <si>
    <t>Manh Dung</t>
  </si>
  <si>
    <t>Thai Nguyen</t>
  </si>
  <si>
    <t>THLONG</t>
  </si>
  <si>
    <t>Thanh Long</t>
  </si>
  <si>
    <t>BestVN</t>
  </si>
  <si>
    <t>Bac Ninh</t>
  </si>
  <si>
    <t>PNHUNG</t>
  </si>
  <si>
    <t>Phuong Nhung</t>
  </si>
  <si>
    <t>Vinh Phuc</t>
  </si>
  <si>
    <t>TTHANH</t>
  </si>
  <si>
    <t>Tuan Thanh</t>
  </si>
  <si>
    <t>Ha Nam</t>
  </si>
  <si>
    <t>NGOCLOP</t>
  </si>
  <si>
    <t>Ngoc Lop DL</t>
  </si>
  <si>
    <t>BTHU</t>
  </si>
  <si>
    <t>Bich Thu</t>
  </si>
  <si>
    <t>TDUC</t>
  </si>
  <si>
    <t>Tran Duc</t>
  </si>
  <si>
    <t>Binh Phuoc</t>
  </si>
  <si>
    <t>VIETTIRE</t>
  </si>
  <si>
    <t>Viettire</t>
  </si>
  <si>
    <t>LMAN</t>
  </si>
  <si>
    <t>Loi Man</t>
  </si>
  <si>
    <t>Hung Yen</t>
  </si>
  <si>
    <t>AHPHAT</t>
  </si>
  <si>
    <t>An Hung Phat</t>
  </si>
  <si>
    <t>Nghe An</t>
  </si>
  <si>
    <t>STNGOC</t>
  </si>
  <si>
    <t>Son Thanh Ngoc</t>
  </si>
  <si>
    <t>LXUAN</t>
  </si>
  <si>
    <t>Loc Xuan</t>
  </si>
  <si>
    <t>TLVINH</t>
  </si>
  <si>
    <t>Truong Loc Vinh</t>
  </si>
  <si>
    <t>AVU</t>
  </si>
  <si>
    <t>Anh Vu</t>
  </si>
  <si>
    <t>Quang Ninh</t>
  </si>
  <si>
    <t>QNAM</t>
  </si>
  <si>
    <t>Quoc Nam</t>
  </si>
  <si>
    <t>Lam Dong</t>
  </si>
  <si>
    <t>Average GR100/ month (Sell-in data 2017)</t>
  </si>
  <si>
    <t>MPHAT-SG</t>
  </si>
  <si>
    <t>-</t>
  </si>
  <si>
    <t>Estimate target sell-in (apply promotion)</t>
  </si>
  <si>
    <t>Nam Dinh</t>
  </si>
  <si>
    <t>Total</t>
  </si>
  <si>
    <t xml:space="preserve">A&amp;P (iPhone X - 30 mil/each) </t>
  </si>
  <si>
    <t>Sales growth (Target - (Average sell-in 2017)*(incremental ratio 10%))*2,500,000VND</t>
  </si>
  <si>
    <t>Wheel Alignment</t>
  </si>
  <si>
    <t>KNGO</t>
  </si>
  <si>
    <t>Khang Ngo</t>
  </si>
  <si>
    <t>Long An</t>
  </si>
  <si>
    <t>Net Sales (rebate)</t>
  </si>
  <si>
    <t>Media cost (PR, Digital, Social)</t>
  </si>
  <si>
    <t>Gift cost, POSM and transportation, Back-up fee)</t>
  </si>
  <si>
    <t>Promotion investment</t>
  </si>
  <si>
    <t>Promotion ROI (Sales Growth – Promotion Investment) / Promotion Investment = ROI)</t>
  </si>
  <si>
    <t>APPENDIX
GR100 FC PROMOTION (MAR - APR 2018) - TARGET &amp; BUDGET ESTIMATION</t>
  </si>
  <si>
    <t>Rebate budget</t>
  </si>
  <si>
    <t>POSM</t>
  </si>
  <si>
    <t>Banner</t>
  </si>
  <si>
    <t>Poster (40x60cm)</t>
  </si>
  <si>
    <t>Standee (0.6x1.6m)</t>
  </si>
  <si>
    <t>Note</t>
  </si>
  <si>
    <t>2 banner dọc</t>
  </si>
  <si>
    <t>1 x 10</t>
  </si>
  <si>
    <t>Điều chỉnh lại kích thước banner từ 1x7.5 thành 1x10</t>
  </si>
  <si>
    <t>1 x 5</t>
  </si>
  <si>
    <t>Điều chỉnh lại kích thước banner từ 1.2x7.825 thành 1x5</t>
  </si>
  <si>
    <t>Điều chỉnh lại kích thước banner từ 1x10 thành 1x7</t>
  </si>
  <si>
    <t>1 x 7</t>
  </si>
  <si>
    <t>1.5 x 8</t>
  </si>
  <si>
    <t>Điều chỉnh lại kích thước banner từ 1.2x7.825 thành 1.5 x 8</t>
  </si>
  <si>
    <t>1 x 9.5</t>
  </si>
  <si>
    <t>1 x 5.5</t>
  </si>
  <si>
    <t>1 x 3</t>
  </si>
  <si>
    <t>1.5 x 15</t>
  </si>
  <si>
    <t>1.5 x 7</t>
  </si>
  <si>
    <t>1 x 14</t>
  </si>
  <si>
    <t>Điều chỉnh lại kích thước từ 1x4.5 thành 1x3</t>
  </si>
  <si>
    <t>Address</t>
  </si>
  <si>
    <t>Tên người liên hệ</t>
  </si>
  <si>
    <t>Số điện thoại di động</t>
  </si>
  <si>
    <t>Số điện thoại bàn</t>
  </si>
  <si>
    <t>Minh Phát Dĩ An</t>
  </si>
  <si>
    <t>69A Hai Bà Trưng, P. Cửa Nam, Hoàn Kiếm, Hà Nội</t>
  </si>
  <si>
    <t>245 ấp Trâm Vàng, xã Thanh Phước, Gò Dầu, thành phố Tây Ninh</t>
  </si>
  <si>
    <t>B-shop Thai Phung</t>
  </si>
  <si>
    <t>B-select Thai Phung</t>
  </si>
  <si>
    <t>B-select Xuan Tung</t>
  </si>
  <si>
    <t>B-select Thành Phát</t>
  </si>
  <si>
    <t>B-select Yến Phong</t>
  </si>
  <si>
    <t>48 Lý Thái Tổ, Phường 1, Quận 3, TPHCM</t>
  </si>
  <si>
    <t>B-shop BestVN</t>
  </si>
  <si>
    <t>Số nhà 42-44 Ngô Gia Tự, Phường Vũ Ninh, TP. Bắc Ninh, tỉnh Bắc Ninh</t>
  </si>
  <si>
    <t>B-shop Xuan Tung</t>
  </si>
  <si>
    <t>B-select Long Biên</t>
  </si>
  <si>
    <t>B-select Thành Nam</t>
  </si>
  <si>
    <t>Nguyễn Bảo Ân</t>
  </si>
  <si>
    <t>Đinh Thị Kim Dung</t>
  </si>
  <si>
    <t>Phạm Văn Tuân</t>
  </si>
  <si>
    <t>Phan Tố Nga</t>
  </si>
  <si>
    <t>Name</t>
  </si>
  <si>
    <t>PW</t>
  </si>
  <si>
    <t>BestVNBN</t>
  </si>
  <si>
    <t>BestVNND</t>
  </si>
  <si>
    <t>TPHUNG1</t>
  </si>
  <si>
    <t>TPHUNG2</t>
  </si>
  <si>
    <t>92 Mai Hắc Đế, Thành phố Vinh, Nghệ An</t>
  </si>
  <si>
    <t>51 Ngọc Hồi, P.Hoàng Liệt, Q. Hoàng Mai, Hà Nội</t>
  </si>
  <si>
    <t>36 Lê Thanh Nghị, Cẩm Bình, Thành phố Cẩm Phả, Quảng Ninh</t>
  </si>
  <si>
    <t>252-254 Nguyễn Hữu Thọ Quận Hải Châu, Đà Nẵng.</t>
  </si>
  <si>
    <t>Tổ 22 Vành Đai 3, P. Yên Sở, Q. Hoàng Mai, Hà Nội (đối diện công viên Yên Sở, năm dưới chân cầu vượt)</t>
  </si>
  <si>
    <t>Số 140 Trần Phú, Hà Đông, Hà Nội</t>
  </si>
  <si>
    <t>375 Lê Duẩn, P. Đông Lễ, TP. Đông Hà, Tỉnh Quảng Trị</t>
  </si>
  <si>
    <t>Lô 19B, số 3+5 Nguyễn Văn Linh, Quận Long Biên, Hà Nội</t>
  </si>
  <si>
    <t>54 Yên Phụ, P. Nguyễn Trung Trực, Q. Ba Đình, Hà Nội</t>
  </si>
  <si>
    <t>666/6 Phạm Cự Lượng, khóm Tân Phú, P. Mỹ Quý, TP. Long Xuyên, An Giang</t>
  </si>
  <si>
    <t>340 , Lê Hồng Phong , Phường 3 , TP Vũng Tàu</t>
  </si>
  <si>
    <t>Số 01 Đường số 28 Khu Trung tâm hành chính tỉnh Phường 6, Long An</t>
  </si>
  <si>
    <t>Đường Lê Văn Lương, Xã Trung Nghĩa, Thành phố Hưng Yên</t>
  </si>
  <si>
    <t>106 Võ Chí Công, Xuân La, Tây Hồ, Hà Nội</t>
  </si>
  <si>
    <t>448 Lương Ngọc Quyến, P. Đồng Quang, TP. Thái Nguyên</t>
  </si>
  <si>
    <t>267 Lê Thánh Tông, phường Máy Chai, quận Ngô Quyền, thành phố Hải Phòng</t>
  </si>
  <si>
    <t>666/11 khu phố Tân Hòa, phường Đông Hòa, Dĩ An, Bình Dương</t>
  </si>
  <si>
    <t>2052 quốc lộ 51, ấp Hương Phước, Phước Tân, TP. Biên Hòa, Đồng Nai, gần đường tránh Biên Hòa hay còn gọi là đường Võ Nguyên Giáp</t>
  </si>
  <si>
    <t>391 Đại lộ Bình Dương, tổ 1, KP12, P. Chánh Nghĩa, TP. Thủ Dầu Một, tỉnh Bình Dương</t>
  </si>
  <si>
    <t>212 Nguyễn Văn Linh, P.Hưng Lợi, Q.Ninh Kiều, TP. Cần Thơ</t>
  </si>
  <si>
    <t>344B Lý Thái Tổ, Phường 1, Quận 3, TP.HCM</t>
  </si>
  <si>
    <t>Số 381, khu phố 1, đường Hùng Vương, phường Đồng Tâm, Thành phố Vĩnh Yên, tỉnh Vĩnh Phúc</t>
  </si>
  <si>
    <t>329 Hai Bà Trưng, Thành phố Đà Lạt, tỉnh Lâm Đồng</t>
  </si>
  <si>
    <t>691 Bà Triệu, Phường Trường Thi, Thành Phố Thanh Hóa</t>
  </si>
  <si>
    <t>597-599 Lê Hồng Phong, thành phố Nha Trang, tỉnh Khánh Hòa</t>
  </si>
  <si>
    <t>Số H1/010B, ấp Nam Sơn, Xã Quang Trung, Huyện Thống Nhất, Tỉnh Đồng Nai, Việt Nam</t>
  </si>
  <si>
    <t>219 Quốc lộ 14, Phường Tân Thiện, TX. Đồng Xoài, Tỉnh Bình Phước</t>
  </si>
  <si>
    <t>3/1 Đường 17 - Phạm Văn Đồng, phường Hiệp Bình Chánh, quận Thủ Đức (cách ngã tư Bình Triệu 200m)</t>
  </si>
  <si>
    <t>26 Nguyễn Văn Trỗi, TP. Vinh, Nghệ An</t>
  </si>
  <si>
    <t>64 Hùng Vương, thành phố Pleiku, tỉnh Gia Lai</t>
  </si>
  <si>
    <t>203-205 Lê Thánh Tông , P.Tân Lợi, Tp.Buôn Ma Thuột , Daklak</t>
  </si>
  <si>
    <t>1103 Phạm Văn Thuận, Biên Hòa, Đồng Nai</t>
  </si>
  <si>
    <t>212 Phạm Hùng, ấp Long Thới, xã Long Thành Trung, huyện Hòa Thành, Tây Ninh</t>
  </si>
  <si>
    <t>B1-2 phố Việt Hưng, P. Việt Hưng, Q. Long Biên, TP. Hà Nội</t>
  </si>
  <si>
    <t>Phủ Lý, Hà Nam</t>
  </si>
  <si>
    <t>78 Lý Thái Tổ, Phường 2, Quận 3, Thành phố Hồ Chí Minh</t>
  </si>
  <si>
    <t>342-344A Lý Thái Tổ, P1, Q3, TPHCM</t>
  </si>
  <si>
    <t>640, Lạc Long Quân, Phú Thượng, Tây Hồ, Hà Nội</t>
  </si>
  <si>
    <t>111/2, Khu phố 1, P. Thạnh Xuân, Q. 12, TP. HCM</t>
  </si>
  <si>
    <t>Đường 10, Vỵ Dương, Mỹ Xã, Thành phố Nam Định, Tỉnh Nam Định</t>
  </si>
  <si>
    <t>GKHOA1</t>
  </si>
  <si>
    <t>GKHOA2</t>
  </si>
  <si>
    <t>XTUNGLLQ</t>
  </si>
  <si>
    <t>XTUNGHBT</t>
  </si>
  <si>
    <t>YPHONG1</t>
  </si>
  <si>
    <t>YPHONG2</t>
  </si>
  <si>
    <t>p@ssw0rds2618</t>
  </si>
  <si>
    <t>p@ssw0rds4953</t>
  </si>
  <si>
    <t>p@ssw0rds1952</t>
  </si>
  <si>
    <t>p@ssw0rds7060</t>
  </si>
  <si>
    <t>p@ssw0rds6928</t>
  </si>
  <si>
    <t>p@ssw0rds1145</t>
  </si>
  <si>
    <t>p@ssw0rds1984</t>
  </si>
  <si>
    <t>p@ssw0rds8940</t>
  </si>
  <si>
    <t>p@ssw0rds5138</t>
  </si>
  <si>
    <t>p@ssw0rds8009</t>
  </si>
  <si>
    <t>p@ssw0rds9377</t>
  </si>
  <si>
    <t>p@ssw0rds3837</t>
  </si>
  <si>
    <t>p@ssw0rds5617</t>
  </si>
  <si>
    <t>p@ssw0rds7932</t>
  </si>
  <si>
    <t>p@ssw0rds1100</t>
  </si>
  <si>
    <t>p@ssw0rds9120</t>
  </si>
  <si>
    <t>p@ssw0rds6132</t>
  </si>
  <si>
    <t>p@ssw0rds4122</t>
  </si>
  <si>
    <t>p@ssw0rds2826</t>
  </si>
  <si>
    <t>p@ssw0rds8107</t>
  </si>
  <si>
    <t>p@ssw0rds4425</t>
  </si>
  <si>
    <t>p@ssw0rds1521</t>
  </si>
  <si>
    <t>p@ssw0rds4164</t>
  </si>
  <si>
    <t>p@ssw0rds3949</t>
  </si>
  <si>
    <t>p@ssw0rds9643</t>
  </si>
  <si>
    <t>p@ssw0rds2205</t>
  </si>
  <si>
    <t>p@ssw0rds4775</t>
  </si>
  <si>
    <t>p@ssw0rds7329</t>
  </si>
  <si>
    <t>p@ssw0rds7872</t>
  </si>
  <si>
    <t>p@ssw0rds3400</t>
  </si>
  <si>
    <t>p@ssw0rds9782</t>
  </si>
  <si>
    <t>p@ssw0rds1600</t>
  </si>
  <si>
    <t>p@ssw0rds2099</t>
  </si>
  <si>
    <t>p@ssw0rds8947</t>
  </si>
  <si>
    <t>p@ssw0rds4288</t>
  </si>
  <si>
    <t>p@ssw0rds6842</t>
  </si>
  <si>
    <t>p@ssw0rds3737</t>
  </si>
  <si>
    <t>p@ssw0rds9116</t>
  </si>
  <si>
    <t>p@ssw0rds2420</t>
  </si>
  <si>
    <t>p@ssw0rds4597</t>
  </si>
  <si>
    <t>p@ssw0rds2873</t>
  </si>
  <si>
    <t>p@ssw0rds2905</t>
  </si>
  <si>
    <t>p@ssw0rds5182</t>
  </si>
  <si>
    <t>p@ssw0rds4412</t>
  </si>
  <si>
    <t>p@ssw0rds4741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</si>
</sst>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sz val="18"/>
      <color rgb="FF000000"/>
      <name val="Arial"/>
      <family val="2"/>
    </font>
    <font>
      <b/>
      <sz val="22"/>
      <color theme="1"/>
      <name val="Arial"/>
      <family val="2"/>
    </font>
    <font>
      <sz val="18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1" applyNumberFormat="1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164" fontId="2" fillId="0" borderId="2" xfId="1" applyNumberFormat="1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165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9" fontId="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2" fillId="4" borderId="1" xfId="1" applyNumberFormat="1" applyFont="1" applyFill="1" applyBorder="1" applyAlignment="1">
      <alignment vertical="center" wrapText="1"/>
    </xf>
    <xf numFmtId="0" fontId="5" fillId="0" borderId="1" xfId="0" applyFont="1" applyBorder="1"/>
    <xf numFmtId="0" fontId="0" fillId="0" borderId="0" xfId="0" applyAlignment="1"/>
    <xf numFmtId="0" fontId="2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nh/OWN%20TASK/FC%20EVALUATION/DANH%20S&#193;CH%20&#272;&#7840;I%20L&#221;/180221%20-%20Danh%20sach%20PSR%20FC_vali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inh/DATA/170324%20Master%20file%20of%20FC%20li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inh/OWN%20TASK/PROMOTION/2017/FC%20PROMOTION%20IN%20NOV/POSM%20&amp;%20GIFT/171124%20FC%20promotion%20-%20dealer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store list"/>
    </sheetNames>
    <sheetDataSet>
      <sheetData sheetId="0" refreshError="1">
        <row r="1">
          <cell r="B1" t="str">
            <v>Short Name</v>
          </cell>
          <cell r="C1" t="str">
            <v>Store Name</v>
          </cell>
          <cell r="D1" t="str">
            <v>Sale PIC</v>
          </cell>
          <cell r="E1" t="str">
            <v>Owner</v>
          </cell>
          <cell r="F1" t="str">
            <v>Store Manager</v>
          </cell>
          <cell r="G1" t="str">
            <v>Email</v>
          </cell>
          <cell r="H1" t="str">
            <v>Phone number</v>
          </cell>
          <cell r="I1" t="str">
            <v>Fixed line phone number</v>
          </cell>
          <cell r="J1" t="str">
            <v>PSR/TBR</v>
          </cell>
          <cell r="K1" t="str">
            <v>Type of dealer</v>
          </cell>
          <cell r="L1" t="str">
            <v>ADDRESS</v>
          </cell>
        </row>
        <row r="2">
          <cell r="B2" t="str">
            <v>DCHU</v>
          </cell>
          <cell r="C2" t="str">
            <v>Dân Chủ</v>
          </cell>
          <cell r="D2" t="str">
            <v>Nguyen Hoang Khanh</v>
          </cell>
          <cell r="E2" t="str">
            <v>BẠCH VI CHỦ</v>
          </cell>
          <cell r="F2" t="str">
            <v>Bạch Minh Thúy</v>
          </cell>
          <cell r="G2" t="str">
            <v>info@lopotodanchu.com.vn</v>
          </cell>
          <cell r="H2" t="str">
            <v>0966323030</v>
          </cell>
          <cell r="I2" t="str">
            <v>0966323030</v>
          </cell>
          <cell r="J2" t="str">
            <v>PSR</v>
          </cell>
          <cell r="K2" t="str">
            <v>B-select</v>
          </cell>
          <cell r="L2" t="str">
            <v>Số 140 Trần Phú, Hà Đông, Hà Nội</v>
          </cell>
        </row>
        <row r="3">
          <cell r="B3" t="str">
            <v>BHIEN</v>
          </cell>
          <cell r="C3" t="str">
            <v>Bích Hiền</v>
          </cell>
          <cell r="D3" t="str">
            <v>Ngo Quang Truong</v>
          </cell>
          <cell r="E3" t="str">
            <v>PHẠM THỊ HIỀN</v>
          </cell>
          <cell r="F3" t="str">
            <v>Ms. Phương</v>
          </cell>
          <cell r="G3" t="str">
            <v>bichhien_183PCT@yahoo.com</v>
          </cell>
          <cell r="H3" t="str">
            <v>101 779 7397</v>
          </cell>
          <cell r="I3" t="str">
            <v>(0236)3824292</v>
          </cell>
          <cell r="J3" t="str">
            <v>PSR</v>
          </cell>
          <cell r="K3" t="str">
            <v>B-select</v>
          </cell>
          <cell r="L3" t="str">
            <v>252-254 Nguyễn Hữu Thọ Quận Hải Châu, Đà Nẵng.</v>
          </cell>
        </row>
        <row r="4">
          <cell r="B4" t="str">
            <v>TNKHUONG</v>
          </cell>
          <cell r="C4" t="str">
            <v>Tân Năm Khương</v>
          </cell>
          <cell r="D4" t="str">
            <v>Tran Huy Vu</v>
          </cell>
          <cell r="E4" t="str">
            <v>NGUYỄN HỮU KHA</v>
          </cell>
          <cell r="F4" t="str">
            <v>chị Mỹ</v>
          </cell>
          <cell r="G4" t="str">
            <v>namkhuongbh@gmail.com</v>
          </cell>
          <cell r="H4" t="str">
            <v>0919692923</v>
          </cell>
          <cell r="I4" t="str">
            <v>(0251)3284075</v>
          </cell>
          <cell r="J4" t="str">
            <v>PSR</v>
          </cell>
          <cell r="K4" t="str">
            <v>B-select</v>
          </cell>
          <cell r="L4" t="str">
            <v>1103 Phạm Văn Thuận, Biên Hòa, Đồng Nai</v>
          </cell>
        </row>
        <row r="5">
          <cell r="B5" t="str">
            <v>YPHONG</v>
          </cell>
          <cell r="C5" t="str">
            <v>Yến Phong</v>
          </cell>
          <cell r="D5" t="str">
            <v>Tran Huy Vu</v>
          </cell>
          <cell r="E5" t="str">
            <v>NGUYỄN BẢO PHONG</v>
          </cell>
          <cell r="F5" t="str">
            <v>Nguyễn Bảo Phong</v>
          </cell>
          <cell r="G5" t="str">
            <v>thanhphat48@gmail.com</v>
          </cell>
          <cell r="H5" t="str">
            <v>0904545472</v>
          </cell>
          <cell r="I5" t="str">
            <v>(028)37168775</v>
          </cell>
          <cell r="J5" t="str">
            <v>PSR</v>
          </cell>
          <cell r="K5" t="str">
            <v>B-select</v>
          </cell>
          <cell r="L5" t="str">
            <v>111/2, Khu phố 1, P. Thạnh Xuân, Q. 12, TP. HCM</v>
          </cell>
        </row>
        <row r="6">
          <cell r="B6" t="str">
            <v>YPHONG</v>
          </cell>
          <cell r="C6" t="str">
            <v>Thành Phát</v>
          </cell>
          <cell r="D6" t="str">
            <v>Tran Huy Vu</v>
          </cell>
          <cell r="E6" t="str">
            <v>NGUYỄN BẢO PHONG</v>
          </cell>
          <cell r="F6" t="str">
            <v>Nguyễn Bảo Ân</v>
          </cell>
          <cell r="G6" t="str">
            <v>sales@trungtamvoxe.com</v>
          </cell>
          <cell r="H6" t="str">
            <v>0904545472</v>
          </cell>
          <cell r="I6" t="str">
            <v>0904545472</v>
          </cell>
          <cell r="J6" t="str">
            <v>PSR</v>
          </cell>
          <cell r="K6" t="str">
            <v>B-select</v>
          </cell>
          <cell r="L6" t="str">
            <v>48 Lý Thái Tổ, Phường 1, Quận 3, TPHCM</v>
          </cell>
        </row>
        <row r="7">
          <cell r="B7" t="str">
            <v>NQUOC</v>
          </cell>
          <cell r="C7" t="str">
            <v>Năm Quốc</v>
          </cell>
          <cell r="D7" t="str">
            <v>Trang Trong Hien</v>
          </cell>
          <cell r="E7" t="str">
            <v>PHÙNG THẾ QUỐC</v>
          </cell>
          <cell r="F7" t="str">
            <v>Phùng Quốc Kỳ</v>
          </cell>
          <cell r="G7" t="str">
            <v>namquoc.voxe@gmail.com</v>
          </cell>
          <cell r="H7" t="str">
            <v>0938573337</v>
          </cell>
          <cell r="I7" t="str">
            <v>(0274)3 824 933</v>
          </cell>
          <cell r="J7" t="str">
            <v>PSR</v>
          </cell>
          <cell r="K7" t="str">
            <v>B-select</v>
          </cell>
          <cell r="L7" t="str">
            <v>391 Đại lộ Bình Dương, tổ 1, KP12, P. Chánh Nghĩa, TP. Thủ Dầu Một, tỉnh Bình Dương</v>
          </cell>
        </row>
        <row r="8">
          <cell r="B8" t="str">
            <v>TNGHIA</v>
          </cell>
          <cell r="C8" t="str">
            <v>Tín Nghĩa</v>
          </cell>
          <cell r="D8" t="str">
            <v>Tran Duc</v>
          </cell>
          <cell r="E8" t="str">
            <v>NGUYỄN QUANG VINH</v>
          </cell>
          <cell r="F8" t="str">
            <v>Trần Hoàng Lan</v>
          </cell>
          <cell r="G8" t="str">
            <v>voxetinnghia@yahoo.com</v>
          </cell>
          <cell r="H8" t="str">
            <v>0913436968/ 097849469</v>
          </cell>
          <cell r="I8" t="str">
            <v>(0262)3999939</v>
          </cell>
          <cell r="J8" t="str">
            <v>PSR</v>
          </cell>
          <cell r="K8" t="str">
            <v>B-select</v>
          </cell>
          <cell r="L8" t="str">
            <v>203-205 Lê Thánh Tông , P.Tân Lợi, Tp.Buôn Ma Thuột , Daklak</v>
          </cell>
        </row>
        <row r="9">
          <cell r="B9" t="str">
            <v>TLY</v>
          </cell>
          <cell r="C9" t="str">
            <v>Thuần Lý</v>
          </cell>
          <cell r="D9" t="str">
            <v>Trang Trong Hien</v>
          </cell>
          <cell r="E9" t="str">
            <v>HỒ THỊ LÝ</v>
          </cell>
          <cell r="F9" t="str">
            <v>Hồ Thị Lý</v>
          </cell>
          <cell r="G9" t="str">
            <v>lopotothuanlygl@gmail.com</v>
          </cell>
          <cell r="H9" t="str">
            <v>0903536556</v>
          </cell>
          <cell r="I9" t="str">
            <v>(0269)3824097</v>
          </cell>
          <cell r="J9" t="str">
            <v>PSR</v>
          </cell>
          <cell r="K9" t="str">
            <v>B-select</v>
          </cell>
          <cell r="L9" t="str">
            <v>64 Hùng Vương, thành phố Pleiku, tỉnh Gia Lai</v>
          </cell>
        </row>
        <row r="10">
          <cell r="B10" t="str">
            <v>OTO24</v>
          </cell>
          <cell r="C10" t="str">
            <v>ÔTÔ24</v>
          </cell>
          <cell r="D10" t="str">
            <v>Vo Dinh Tuong</v>
          </cell>
          <cell r="E10" t="str">
            <v>ĐẶNG NGỌC LINH</v>
          </cell>
          <cell r="F10" t="str">
            <v>Lưu Khắc Bảng</v>
          </cell>
          <cell r="G10" t="str">
            <v>autocare24.vn@gmail.com</v>
          </cell>
          <cell r="H10" t="str">
            <v>0968682424</v>
          </cell>
          <cell r="I10" t="str">
            <v>(0292)3781389</v>
          </cell>
          <cell r="J10" t="str">
            <v>PSR</v>
          </cell>
          <cell r="K10" t="str">
            <v>B-select</v>
          </cell>
          <cell r="L10" t="str">
            <v>212 Nguyễn Văn Linh, P.Hưng Lợi, Q.Ninh Kiều, TP. Cần Thơ</v>
          </cell>
        </row>
        <row r="11">
          <cell r="B11" t="str">
            <v>TPHUNG</v>
          </cell>
          <cell r="C11" t="str">
            <v>Thái Phùng</v>
          </cell>
          <cell r="D11" t="str">
            <v>Trang Trong Hien</v>
          </cell>
          <cell r="E11" t="str">
            <v>TRẦN THÁI PHÙNG</v>
          </cell>
          <cell r="F11" t="str">
            <v>TRẦN THÁI PHÙNG</v>
          </cell>
          <cell r="G11" t="str">
            <v>thaiphungtayninh@yahoo.com.vn</v>
          </cell>
          <cell r="H11" t="str">
            <v>0913884341</v>
          </cell>
          <cell r="I11" t="str">
            <v>0913884341</v>
          </cell>
          <cell r="J11" t="str">
            <v>PSR</v>
          </cell>
          <cell r="K11" t="str">
            <v>B-select</v>
          </cell>
          <cell r="L11" t="str">
            <v>212 Phạm Hùng, ấp Long Thới, xã Long Thành Trung, huyện Hòa Thành, Tây Ninh</v>
          </cell>
        </row>
        <row r="12">
          <cell r="B12" t="str">
            <v>TPHUONG</v>
          </cell>
          <cell r="C12" t="str">
            <v>Thái Phương</v>
          </cell>
          <cell r="D12" t="str">
            <v>Nguyen Minh Long</v>
          </cell>
          <cell r="E12" t="str">
            <v>NGUYỄN THỊ PHƯƠNG CHUNG</v>
          </cell>
          <cell r="F12" t="str">
            <v>chị Phương</v>
          </cell>
          <cell r="G12" t="str">
            <v>lopotothaiphuong@gmail.com</v>
          </cell>
          <cell r="H12" t="str">
            <v>0915586010</v>
          </cell>
          <cell r="I12" t="str">
            <v>(04)38274326</v>
          </cell>
          <cell r="J12" t="str">
            <v>PSR</v>
          </cell>
          <cell r="K12" t="str">
            <v>B-select</v>
          </cell>
          <cell r="L12" t="str">
            <v>B1-2 phố Việt Hưng, P. Việt Hưng, Q. Long Biên, TP. Hà Nội</v>
          </cell>
        </row>
        <row r="13">
          <cell r="B13" t="str">
            <v>MNGOC</v>
          </cell>
          <cell r="C13" t="str">
            <v>Minh Ngọc</v>
          </cell>
          <cell r="D13" t="str">
            <v>Nguyen Minh Long</v>
          </cell>
          <cell r="E13" t="str">
            <v>NGUYỄN THỊ LỆ THỦY</v>
          </cell>
          <cell r="F13" t="str">
            <v>Phạm Hữu Tiến</v>
          </cell>
          <cell r="G13" t="str">
            <v>congtyminhngoc2014@gmail.com</v>
          </cell>
          <cell r="H13" t="str">
            <v>0913241701</v>
          </cell>
          <cell r="I13" t="str">
            <v>(0225)3768888</v>
          </cell>
          <cell r="J13" t="str">
            <v>PSR</v>
          </cell>
          <cell r="K13" t="str">
            <v>B-select</v>
          </cell>
          <cell r="L13" t="str">
            <v>267 Lê Thánh Tông, phường Máy Chai, quận Ngô Quyền, thành phố Hải Phòng</v>
          </cell>
        </row>
        <row r="14">
          <cell r="B14" t="str">
            <v>XTUNG</v>
          </cell>
          <cell r="C14" t="str">
            <v>Xuân Tùng</v>
          </cell>
          <cell r="D14" t="str">
            <v>Nguyen Minh Long</v>
          </cell>
          <cell r="E14" t="str">
            <v>NHỮ XUÂN TÙNG</v>
          </cell>
          <cell r="F14" t="str">
            <v xml:space="preserve">Lâm </v>
          </cell>
          <cell r="G14" t="str">
            <v>congtytnhhxuantung@gmail.com</v>
          </cell>
          <cell r="H14" t="str">
            <v>0915573040</v>
          </cell>
          <cell r="I14" t="str">
            <v>02439421491</v>
          </cell>
          <cell r="J14" t="str">
            <v>PSR</v>
          </cell>
          <cell r="K14" t="str">
            <v>B-select</v>
          </cell>
          <cell r="L14" t="str">
            <v>640, Lạc Long Quân, Phú Thượng, Tây Hồ, Hà Nội</v>
          </cell>
        </row>
        <row r="15">
          <cell r="B15" t="str">
            <v>HHUNG</v>
          </cell>
          <cell r="C15" t="str">
            <v>Hoàng Hùng</v>
          </cell>
          <cell r="D15" t="str">
            <v>Nguyen Hoang Khanh</v>
          </cell>
          <cell r="E15" t="str">
            <v>NGUYỄN VĂN HÙNG</v>
          </cell>
          <cell r="F15" t="str">
            <v>Lê Thị Kim Anh</v>
          </cell>
          <cell r="G15" t="str">
            <v>hoanghung.lop@gmail.com</v>
          </cell>
          <cell r="H15" t="str">
            <v>0947889399</v>
          </cell>
          <cell r="I15" t="str">
            <v>(024)66505157</v>
          </cell>
          <cell r="J15" t="str">
            <v>PSR</v>
          </cell>
          <cell r="K15" t="str">
            <v>B-select</v>
          </cell>
          <cell r="L15" t="str">
            <v>54 Yên Phụ, P. Nguyễn Trung Trực, Q. Ba Đình, Hà Nội</v>
          </cell>
        </row>
        <row r="16">
          <cell r="B16" t="str">
            <v>SMEM</v>
          </cell>
          <cell r="C16" t="str">
            <v>Nha Trang</v>
          </cell>
          <cell r="D16" t="str">
            <v>Le Quoc Tien</v>
          </cell>
          <cell r="E16" t="str">
            <v>TRẦN THỊ XUÂN HƯƠNG</v>
          </cell>
          <cell r="F16" t="str">
            <v>Lương Bá Hoành</v>
          </cell>
          <cell r="G16" t="str">
            <v>hoanhsaomaiem@yahoo.com.vn</v>
          </cell>
          <cell r="H16" t="str">
            <v>0913 460 639</v>
          </cell>
          <cell r="I16" t="str">
            <v>(0258)3821877</v>
          </cell>
          <cell r="J16" t="str">
            <v>PSR</v>
          </cell>
          <cell r="K16" t="str">
            <v>B-select</v>
          </cell>
          <cell r="L16" t="str">
            <v>597-599 Lê Hồng Phong, thành phố Nha Trang, tỉnh Khánh Hòa</v>
          </cell>
        </row>
        <row r="17">
          <cell r="B17" t="str">
            <v>GKHOA</v>
          </cell>
          <cell r="C17" t="str">
            <v>Long Biên</v>
          </cell>
          <cell r="D17" t="str">
            <v>Nguyen Anh Tuan</v>
          </cell>
          <cell r="E17" t="str">
            <v>PHẠM VIẾT LÝ</v>
          </cell>
          <cell r="F17" t="str">
            <v>Phạm Viết Trung</v>
          </cell>
          <cell r="G17" t="str">
            <v>trungpham2203@gmail.com</v>
          </cell>
          <cell r="H17" t="str">
            <v>0918910090</v>
          </cell>
          <cell r="I17" t="str">
            <v>0918910090</v>
          </cell>
          <cell r="J17" t="str">
            <v>PSR</v>
          </cell>
          <cell r="K17" t="str">
            <v>B-select</v>
          </cell>
          <cell r="L17" t="str">
            <v>Lô 19B, số 3+5 Nguyễn Văn Linh, Quận Long Biên, Hà Nội</v>
          </cell>
        </row>
        <row r="18">
          <cell r="B18" t="str">
            <v>VLOITIRE</v>
          </cell>
          <cell r="C18" t="str">
            <v>Vạn Lợi</v>
          </cell>
          <cell r="D18" t="str">
            <v>Trang Trong Hien</v>
          </cell>
          <cell r="E18" t="str">
            <v>NGUYỄN ĐỨC</v>
          </cell>
          <cell r="F18" t="str">
            <v>NGUYỄN ĐỨC</v>
          </cell>
          <cell r="G18" t="str">
            <v>vanloigia@yahoo.com.vn</v>
          </cell>
          <cell r="H18" t="str">
            <v xml:space="preserve"> 0903 618 013</v>
          </cell>
          <cell r="I18" t="str">
            <v>(028)38393110</v>
          </cell>
          <cell r="J18" t="str">
            <v>PSR</v>
          </cell>
          <cell r="K18" t="str">
            <v>B-select</v>
          </cell>
          <cell r="L18" t="str">
            <v>342-344A Lý Thái Tổ, P1, Q3, TPHCM</v>
          </cell>
        </row>
        <row r="19">
          <cell r="B19" t="str">
            <v>QNAM</v>
          </cell>
          <cell r="C19" t="str">
            <v>Quốc Nam</v>
          </cell>
          <cell r="D19" t="str">
            <v>Truong Ngoc Hai</v>
          </cell>
          <cell r="E19" t="str">
            <v>BÙI THỊ HUỆ</v>
          </cell>
          <cell r="F19" t="str">
            <v>Nguyễn Ngọc Quốc</v>
          </cell>
          <cell r="G19" t="str">
            <v>thanhhientuong@yahoo.com; ncngocthao@gmail.com</v>
          </cell>
          <cell r="H19" t="str">
            <v>0909186292</v>
          </cell>
          <cell r="I19" t="str">
            <v>(0263).3818796</v>
          </cell>
          <cell r="J19" t="str">
            <v>PSR</v>
          </cell>
          <cell r="K19" t="str">
            <v>B-select</v>
          </cell>
          <cell r="L19" t="str">
            <v>329 Hai Bà Trưng, Thành phố Đà Lạt, tỉnh Lâm Đồng</v>
          </cell>
        </row>
        <row r="20">
          <cell r="B20" t="str">
            <v>MPHAT-SG</v>
          </cell>
          <cell r="C20" t="str">
            <v>Dĩ An</v>
          </cell>
          <cell r="D20" t="str">
            <v>Vo Dinh Tuong</v>
          </cell>
          <cell r="E20" t="str">
            <v>TRƯƠNG THỊ THÙY DUNG</v>
          </cell>
          <cell r="F20" t="str">
            <v>Ms Dung</v>
          </cell>
          <cell r="G20" t="str">
            <v>lopxeminhphat@yahoo.com</v>
          </cell>
          <cell r="H20" t="str">
            <v>0904730880</v>
          </cell>
          <cell r="I20" t="str">
            <v>0904730880</v>
          </cell>
          <cell r="J20" t="str">
            <v>PSR</v>
          </cell>
          <cell r="K20" t="str">
            <v>B-select</v>
          </cell>
          <cell r="L20" t="str">
            <v>666/11 khu phố Tân Hòa, phường Đông Hòa, Dĩ An, Bình Dương</v>
          </cell>
        </row>
        <row r="21">
          <cell r="B21" t="str">
            <v>AVU</v>
          </cell>
          <cell r="C21" t="str">
            <v>Hải Anh</v>
          </cell>
          <cell r="D21" t="str">
            <v>Nguyen Minh Long</v>
          </cell>
          <cell r="E21" t="str">
            <v>HOÀNG TRÌNH</v>
          </cell>
          <cell r="F21" t="str">
            <v>Hoàng Thanh Hải</v>
          </cell>
          <cell r="G21" t="str">
            <v>thuongmaianhvu@gmail.com</v>
          </cell>
          <cell r="H21" t="str">
            <v>0983064073</v>
          </cell>
          <cell r="I21" t="str">
            <v>(0203)3862915</v>
          </cell>
          <cell r="J21" t="str">
            <v>PSR</v>
          </cell>
          <cell r="K21" t="str">
            <v>B-select</v>
          </cell>
          <cell r="L21" t="str">
            <v>36 Lê Thanh Nghị, Cẩm Bình, Thành phố Cẩm Phả, Quảng Ninh</v>
          </cell>
        </row>
        <row r="22">
          <cell r="B22" t="str">
            <v>BESTVN</v>
          </cell>
          <cell r="C22" t="str">
            <v>Thành Nam</v>
          </cell>
          <cell r="D22" t="str">
            <v>Nguyen Minh Long</v>
          </cell>
          <cell r="E22" t="str">
            <v>NGUYỄN VĂN ƯỚC</v>
          </cell>
          <cell r="F22" t="str">
            <v>Vũ Quyết Thành</v>
          </cell>
          <cell r="G22" t="str">
            <v>thanhnamtire.service@gmail.com</v>
          </cell>
          <cell r="H22" t="str">
            <v>0915363068</v>
          </cell>
          <cell r="I22" t="str">
            <v>0915363068</v>
          </cell>
          <cell r="J22" t="str">
            <v>PSR</v>
          </cell>
          <cell r="K22" t="str">
            <v>B-select</v>
          </cell>
          <cell r="L22" t="str">
            <v>Đường 10, Vỵ Dương, Mỹ Xã, Thành phố Nam Định, Tỉnh Nam Định</v>
          </cell>
        </row>
        <row r="23">
          <cell r="B23" t="str">
            <v>BESTVN</v>
          </cell>
          <cell r="C23" t="str">
            <v>BESTVN</v>
          </cell>
          <cell r="D23" t="str">
            <v>Nguyen Minh Long</v>
          </cell>
          <cell r="E23" t="str">
            <v>NGUYỄN VĂN ƯỚC</v>
          </cell>
          <cell r="F23" t="str">
            <v>Phạm Văn Tuân</v>
          </cell>
          <cell r="G23" t="str">
            <v>bestvn111@gmail.com</v>
          </cell>
          <cell r="H23" t="str">
            <v>0982479296</v>
          </cell>
          <cell r="I23" t="str">
            <v>0982479296</v>
          </cell>
          <cell r="J23" t="str">
            <v>PSR</v>
          </cell>
          <cell r="K23" t="str">
            <v>B-shop</v>
          </cell>
          <cell r="L23" t="str">
            <v>Số nhà 42-44 Ngô Gia Tự, Phường Vũ Ninh, TP. Bắc Ninh, tỉnh Bắc Ninh</v>
          </cell>
        </row>
        <row r="24">
          <cell r="B24" t="str">
            <v>GKHOA</v>
          </cell>
          <cell r="C24" t="str">
            <v>Gia Khoa</v>
          </cell>
          <cell r="D24" t="str">
            <v>Nguyen Anh Tuan</v>
          </cell>
          <cell r="E24" t="str">
            <v>PHẠM VIẾT LÝ</v>
          </cell>
          <cell r="F24" t="str">
            <v>Đinh Thị Kim Dung</v>
          </cell>
          <cell r="G24" t="str">
            <v>giakhoaco.ltd@gmail.com</v>
          </cell>
          <cell r="H24" t="str">
            <v>0944999962</v>
          </cell>
          <cell r="I24" t="str">
            <v>0944999962</v>
          </cell>
          <cell r="J24" t="str">
            <v>PSR</v>
          </cell>
          <cell r="K24" t="str">
            <v>B-shop</v>
          </cell>
          <cell r="L24" t="str">
            <v>214 Trần Quang Khải, Q. Hoàn Kiếm, Hà Nội</v>
          </cell>
        </row>
        <row r="25">
          <cell r="B25" t="str">
            <v>MDUNG</v>
          </cell>
          <cell r="C25" t="str">
            <v>Mạnh Dũng</v>
          </cell>
          <cell r="D25" t="str">
            <v>Nguyen Hoang Khanh</v>
          </cell>
          <cell r="E25" t="str">
            <v>NGUYỄN MẠNH DŨNG</v>
          </cell>
          <cell r="F25" t="str">
            <v>NGUYỄN MẠNH DŨNG</v>
          </cell>
          <cell r="G25" t="str">
            <v>doanhnghiepmanhdung@gmail.com</v>
          </cell>
          <cell r="H25" t="str">
            <v>0915494455</v>
          </cell>
          <cell r="I25" t="str">
            <v>0915494455</v>
          </cell>
          <cell r="J25" t="str">
            <v>PSR</v>
          </cell>
          <cell r="K25" t="str">
            <v>B-shop</v>
          </cell>
          <cell r="L25" t="str">
            <v>448 Lương Ngọc Quyến, P. Đồng Quang, TP. Thái Nguyên</v>
          </cell>
        </row>
        <row r="26">
          <cell r="B26" t="str">
            <v>PNHUNG</v>
          </cell>
          <cell r="C26" t="str">
            <v>Phương Nhung</v>
          </cell>
          <cell r="D26" t="str">
            <v>Nguyen Hoang Khanh</v>
          </cell>
          <cell r="E26" t="str">
            <v>TRẦN VĂN PHƯƠNG</v>
          </cell>
          <cell r="F26" t="str">
            <v>Ms Nhung</v>
          </cell>
          <cell r="G26" t="str">
            <v>phuongnhungvp@gmail.com</v>
          </cell>
          <cell r="H26" t="str">
            <v>0945861968</v>
          </cell>
          <cell r="I26" t="str">
            <v>0945861968</v>
          </cell>
          <cell r="J26" t="str">
            <v>PSR</v>
          </cell>
          <cell r="K26" t="str">
            <v>B-shop</v>
          </cell>
          <cell r="L26" t="str">
            <v>Số 381, khu phố 1, đường Hùng Vương, phường Đồng Tâm, Thành phố Vĩnh Yên, tỉnh Vĩnh Phúc</v>
          </cell>
        </row>
        <row r="27">
          <cell r="B27" t="str">
            <v>AVNHAT</v>
          </cell>
          <cell r="C27" t="str">
            <v>An Việt Nhật</v>
          </cell>
          <cell r="D27" t="str">
            <v>Nguyen Anh Tuan</v>
          </cell>
          <cell r="E27" t="str">
            <v>NGUYỄN HIỀN AN</v>
          </cell>
          <cell r="F27" t="str">
            <v>Nguyễn Hiền An</v>
          </cell>
          <cell r="G27" t="str">
            <v>lopotoanvietnhat@gmail.com; haanvietnhat@gmail.com</v>
          </cell>
          <cell r="H27" t="str">
            <v>0913527230/ 0996888889</v>
          </cell>
          <cell r="I27" t="str">
            <v>0913527230/ 0996888889</v>
          </cell>
          <cell r="J27" t="str">
            <v>PSR</v>
          </cell>
          <cell r="K27" t="str">
            <v>B-shop</v>
          </cell>
          <cell r="L27" t="str">
            <v>51 Ngọc Hồi, P.Hoàng Liệt, Q. Hoàng Mai, Hà Nội</v>
          </cell>
        </row>
        <row r="28">
          <cell r="B28" t="str">
            <v>DTHAO</v>
          </cell>
          <cell r="C28" t="str">
            <v>Đăng Thảo</v>
          </cell>
          <cell r="D28" t="str">
            <v>Ngo Quang Truong</v>
          </cell>
          <cell r="E28" t="str">
            <v>ĐỖ ĐĂNG THẢO</v>
          </cell>
          <cell r="F28" t="str">
            <v>Trần Phan Thanh Nhàn</v>
          </cell>
          <cell r="G28" t="str">
            <v>nhantran.dangthao@gmail.com</v>
          </cell>
          <cell r="H28" t="str">
            <v>0901165666</v>
          </cell>
          <cell r="I28" t="str">
            <v>0901165666</v>
          </cell>
          <cell r="J28" t="str">
            <v>PSR</v>
          </cell>
          <cell r="K28" t="str">
            <v>B-shop</v>
          </cell>
          <cell r="L28" t="str">
            <v>375 Lê Duẩn, P. Đông Lễ, TP. Đông Hà, Tỉnh Quảng Trị</v>
          </cell>
        </row>
        <row r="29">
          <cell r="B29" t="str">
            <v>QVINH</v>
          </cell>
          <cell r="C29" t="str">
            <v>Quang Vinh</v>
          </cell>
          <cell r="D29" t="str">
            <v>Nguyen Anh Tuan</v>
          </cell>
          <cell r="E29" t="str">
            <v>NGUYỄN ĐĂNG VINH</v>
          </cell>
          <cell r="F29" t="str">
            <v>Nguyễn Đăng Hiếu</v>
          </cell>
          <cell r="G29" t="str">
            <v>quangvinh.ctcp@gmail.com</v>
          </cell>
          <cell r="H29" t="str">
            <v>0944 446 868</v>
          </cell>
          <cell r="I29" t="str">
            <v>(0237)3855929</v>
          </cell>
          <cell r="J29" t="str">
            <v>PSR</v>
          </cell>
          <cell r="K29" t="str">
            <v>B-shop</v>
          </cell>
          <cell r="L29" t="str">
            <v>691 Bà Triệu, Phường Trường Thi, Thành Phố Thanh Hóa</v>
          </cell>
        </row>
        <row r="30">
          <cell r="B30" t="str">
            <v>PHAI</v>
          </cell>
          <cell r="C30" t="str">
            <v>Tốt Phước Hải</v>
          </cell>
          <cell r="D30" t="str">
            <v>Truong Ngoc Hai</v>
          </cell>
          <cell r="E30" t="str">
            <v>NGUYỄN THỊ VỮNG</v>
          </cell>
          <cell r="F30" t="str">
            <v>Nguyễn Thị Vững</v>
          </cell>
          <cell r="G30" t="str">
            <v>ketoanphuochai@gmail.com</v>
          </cell>
          <cell r="H30" t="str">
            <v>0917675676</v>
          </cell>
          <cell r="I30" t="str">
            <v>02838355678</v>
          </cell>
          <cell r="J30" t="str">
            <v>PSR</v>
          </cell>
          <cell r="K30" t="str">
            <v>B-shop</v>
          </cell>
          <cell r="L30" t="str">
            <v>344B Lý Thái Tổ, Phường 1, Quận 3, TP.HCM</v>
          </cell>
        </row>
        <row r="31">
          <cell r="B31" t="str">
            <v>HTAN</v>
          </cell>
          <cell r="C31" t="str">
            <v>Huỳnh Tấn</v>
          </cell>
          <cell r="D31" t="str">
            <v>Tran Huy Vu</v>
          </cell>
          <cell r="E31" t="str">
            <v>HUỲNH TẤN HUÂN</v>
          </cell>
          <cell r="F31" t="str">
            <v>ĐOÀN THỊ THANH THÚY</v>
          </cell>
          <cell r="G31" t="str">
            <v>huynhtanhuan@yahoo.com.vn</v>
          </cell>
          <cell r="H31" t="str">
            <v>0902632834</v>
          </cell>
          <cell r="I31" t="str">
            <v>(0254)3584968/ (0254)3584969</v>
          </cell>
          <cell r="J31" t="str">
            <v>PSR</v>
          </cell>
          <cell r="K31" t="str">
            <v>B-shop</v>
          </cell>
          <cell r="L31" t="str">
            <v>340 , Lê Hồng Phong , Phường 3 , TP Vũng Tàu</v>
          </cell>
        </row>
        <row r="32">
          <cell r="B32" t="str">
            <v>TPHUNG</v>
          </cell>
          <cell r="C32" t="str">
            <v>Thái Phùng</v>
          </cell>
          <cell r="D32" t="str">
            <v>Trang Trong Hien</v>
          </cell>
          <cell r="E32" t="str">
            <v>TRẦN THÁI PHÙNG</v>
          </cell>
          <cell r="F32" t="str">
            <v>TRẦN THÁI PHÙNG</v>
          </cell>
          <cell r="G32" t="str">
            <v>thaiphungtayninh@yahoo.com.vn</v>
          </cell>
          <cell r="H32" t="str">
            <v>0913884341</v>
          </cell>
          <cell r="I32" t="str">
            <v>0913884341</v>
          </cell>
          <cell r="J32" t="str">
            <v>PSR</v>
          </cell>
          <cell r="K32" t="str">
            <v>B-shop</v>
          </cell>
          <cell r="L32" t="str">
            <v>208-210 Phạm Hùng, ấp Long Thới, xã Long Thành Trung, huyện Hòa Thành, Tây Ninh</v>
          </cell>
        </row>
        <row r="33">
          <cell r="B33" t="str">
            <v>HLINH</v>
          </cell>
          <cell r="C33" t="str">
            <v>Hoàng Lĩnh</v>
          </cell>
          <cell r="D33" t="str">
            <v>Vo Dinh Tuong</v>
          </cell>
          <cell r="E33" t="str">
            <v>NGUYỄN HOÀNG GIANG</v>
          </cell>
          <cell r="F33" t="str">
            <v>NGUYỄN HOÀNG GIANG</v>
          </cell>
          <cell r="G33" t="str">
            <v>hoanggianglx@gmail.com</v>
          </cell>
          <cell r="H33" t="str">
            <v>0918212555</v>
          </cell>
          <cell r="I33" t="str">
            <v>(0296)3930999</v>
          </cell>
          <cell r="J33" t="str">
            <v>PSR</v>
          </cell>
          <cell r="K33" t="str">
            <v>B-shop</v>
          </cell>
          <cell r="L33" t="str">
            <v>666/6 Phạm Cự Lượng, khóm Tân Phú, P. Mỹ Quý, TP. Long Xuyên, An Giang</v>
          </cell>
        </row>
        <row r="34">
          <cell r="B34" t="str">
            <v>THLONG</v>
          </cell>
          <cell r="C34" t="str">
            <v>Thanh Long</v>
          </cell>
          <cell r="D34" t="str">
            <v>Truong Ngoc Hai</v>
          </cell>
          <cell r="E34" t="str">
            <v>PHAN HẠ</v>
          </cell>
          <cell r="F34" t="str">
            <v>Mr. Long</v>
          </cell>
          <cell r="G34" t="str">
            <v>THANH LONG PHAN &lt;voxethanhlongcn2@gmail.com&gt;</v>
          </cell>
          <cell r="H34" t="str">
            <v>0909355283</v>
          </cell>
          <cell r="I34" t="str">
            <v>(028)62842877</v>
          </cell>
          <cell r="J34" t="str">
            <v>PSR</v>
          </cell>
          <cell r="K34" t="str">
            <v>B-shop</v>
          </cell>
          <cell r="L34" t="str">
            <v>3/1 Đường 17 - Phạm Văn Đồng, phường Hiệp Bình Chánh, quận Thủ Đức (cách ngã tư Bình Triệu 200m)</v>
          </cell>
        </row>
        <row r="35">
          <cell r="B35" t="str">
            <v>XTUNG</v>
          </cell>
          <cell r="C35" t="str">
            <v>Xuân Tùng</v>
          </cell>
          <cell r="D35" t="str">
            <v>Nguyen Minh Long</v>
          </cell>
          <cell r="E35" t="str">
            <v>NHỮ XUÂN TÙNG</v>
          </cell>
          <cell r="F35" t="str">
            <v>Phan Tố Nga</v>
          </cell>
          <cell r="G35" t="str">
            <v>congtytnhhxuantung@gmail.com</v>
          </cell>
          <cell r="H35" t="str">
            <v>0906161685</v>
          </cell>
          <cell r="I35" t="str">
            <v>02439421491</v>
          </cell>
          <cell r="J35" t="str">
            <v>PSR</v>
          </cell>
          <cell r="K35" t="str">
            <v>B-shop</v>
          </cell>
          <cell r="L35" t="str">
            <v>69A Hai Bà Trưng, P. Cửa Nam, Hoàn Kiếm, Hà Nội</v>
          </cell>
        </row>
        <row r="36">
          <cell r="B36" t="str">
            <v>TDUC</v>
          </cell>
          <cell r="C36" t="str">
            <v>Trần Đức</v>
          </cell>
          <cell r="D36" t="str">
            <v>Trang Trong Hien</v>
          </cell>
          <cell r="E36" t="str">
            <v>TRƯƠNG THỊ HƯƠNG</v>
          </cell>
          <cell r="F36" t="str">
            <v>Trương Thị Hương</v>
          </cell>
          <cell r="G36" t="str">
            <v>lopxetranduc@gmail.com</v>
          </cell>
          <cell r="H36" t="str">
            <v>0944070707</v>
          </cell>
          <cell r="I36" t="str">
            <v>(0271)3500309</v>
          </cell>
          <cell r="J36" t="str">
            <v>PSR</v>
          </cell>
          <cell r="K36" t="str">
            <v>B-shop</v>
          </cell>
          <cell r="L36" t="str">
            <v>219 Quốc lộ 14, Phường Tân Thiện, TX. Đồng Xoài, Tỉnh Bình Phước</v>
          </cell>
        </row>
        <row r="37">
          <cell r="B37" t="str">
            <v>NGOCLOP</v>
          </cell>
          <cell r="C37" t="str">
            <v>NGỌC</v>
          </cell>
          <cell r="D37" t="str">
            <v>Tran Huy Vu</v>
          </cell>
          <cell r="E37" t="str">
            <v>NGUYỄN TẤN CƯỜNG</v>
          </cell>
          <cell r="F37" t="str">
            <v>Cường</v>
          </cell>
          <cell r="G37" t="str">
            <v>Cường Nguyễn &lt;cuongnguyen.ngoclop@gmail.com&gt;</v>
          </cell>
          <cell r="H37" t="str">
            <v>0918326669</v>
          </cell>
          <cell r="I37" t="str">
            <v>(0251)885888</v>
          </cell>
          <cell r="J37" t="str">
            <v>PSR</v>
          </cell>
          <cell r="K37" t="str">
            <v>B-shop</v>
          </cell>
          <cell r="L37" t="str">
            <v>2052 quốc lộ 51, ấp Hương Phước, Phước Tân, TP. Biên Hòa, Đồng Nai, gần đường tránh Biên Hòa hay còn gọi là đường Võ Nguyên Giáp</v>
          </cell>
        </row>
        <row r="38">
          <cell r="B38" t="str">
            <v>BTHU</v>
          </cell>
          <cell r="C38" t="str">
            <v>Bích Thư</v>
          </cell>
          <cell r="D38" t="str">
            <v>Nguyen Anh Tuan</v>
          </cell>
          <cell r="E38" t="str">
            <v>NGUYỄN BÍCH THƯ</v>
          </cell>
          <cell r="F38" t="str">
            <v>NGUYỄN BÍCH THƯ/ MR HIỆP</v>
          </cell>
          <cell r="G38" t="str">
            <v>thu.nguyen2305@gmail.com;linhdieuvinhphuc@yahoo.com;lien272@yahoo.com</v>
          </cell>
          <cell r="H38" t="str">
            <v>0948929860 (Thư)/ 0946999860 (Hiệp)</v>
          </cell>
          <cell r="I38" t="str">
            <v>(024)66757260</v>
          </cell>
          <cell r="J38" t="str">
            <v>PSR</v>
          </cell>
          <cell r="K38" t="str">
            <v>B-shop</v>
          </cell>
          <cell r="L38" t="str">
            <v>Tổ 22 Vành Đai 3, P. Yên Sở, Q. Hoàng Mai, Hà Nội (đối diện công viên Yên Sở, năm dưới chân cầu vượt)</v>
          </cell>
        </row>
        <row r="39">
          <cell r="B39" t="str">
            <v>TTHANH</v>
          </cell>
          <cell r="C39" t="str">
            <v>Tuấn Thành</v>
          </cell>
          <cell r="D39" t="str">
            <v>Nguyen Anh Tuan</v>
          </cell>
          <cell r="E39" t="str">
            <v>NGUYỄN VĂN TUẤN</v>
          </cell>
          <cell r="F39" t="str">
            <v>Nguyễn Văn Tuấn</v>
          </cell>
          <cell r="G39" t="str">
            <v>tuanthanhlop@gmail.com</v>
          </cell>
          <cell r="H39" t="str">
            <v>0914899456</v>
          </cell>
          <cell r="I39" t="str">
            <v>(0226)888058</v>
          </cell>
          <cell r="J39" t="str">
            <v>PSR</v>
          </cell>
          <cell r="K39" t="str">
            <v>B-shop</v>
          </cell>
          <cell r="L39" t="str">
            <v>Phủ Lý, Hà Nam</v>
          </cell>
        </row>
        <row r="40">
          <cell r="B40" t="str">
            <v>LMAN</v>
          </cell>
          <cell r="C40" t="str">
            <v>Lợi Mận</v>
          </cell>
          <cell r="D40" t="str">
            <v>Nguyen Hoang Khanh</v>
          </cell>
          <cell r="E40" t="str">
            <v>NGUYỄN MẠNH TRỨC</v>
          </cell>
          <cell r="F40" t="str">
            <v>Nguyễn Mạnh Trức</v>
          </cell>
          <cell r="G40" t="str">
            <v>loimanhy@gmail.com</v>
          </cell>
          <cell r="H40" t="str">
            <v>0913311993</v>
          </cell>
          <cell r="I40" t="str">
            <v>0913311993</v>
          </cell>
          <cell r="J40" t="str">
            <v>PSR</v>
          </cell>
          <cell r="K40" t="str">
            <v>B-shop</v>
          </cell>
          <cell r="L40" t="str">
            <v>Đường Lê Văn Lương, Xã Trung Nghĩa, Thành phố Hưng Yên</v>
          </cell>
        </row>
        <row r="41">
          <cell r="B41" t="str">
            <v>TLVINH</v>
          </cell>
          <cell r="C41" t="str">
            <v>Trường Lộc Vinh</v>
          </cell>
          <cell r="D41" t="str">
            <v>Ngo Quang Truong</v>
          </cell>
          <cell r="E41" t="str">
            <v>NGUYỄN VĂN HÀ</v>
          </cell>
          <cell r="F41" t="str">
            <v>Đỗ Anh Dũng</v>
          </cell>
          <cell r="G41" t="str">
            <v>nguyenvanhavtb@gmail.com; anhdungtlv@gmail.com</v>
          </cell>
          <cell r="H41" t="str">
            <v>0912 882 886</v>
          </cell>
          <cell r="I41" t="str">
            <v>(0383)595757</v>
          </cell>
          <cell r="J41" t="str">
            <v>PSR</v>
          </cell>
          <cell r="K41" t="str">
            <v>B-shop</v>
          </cell>
          <cell r="L41" t="str">
            <v>26 Nguyễn Văn Trỗi, TP. Vinh, Nghệ An</v>
          </cell>
        </row>
        <row r="42">
          <cell r="B42" t="str">
            <v>STNGOC</v>
          </cell>
          <cell r="C42" t="str">
            <v>Sơn Thanh Ngọc</v>
          </cell>
          <cell r="D42" t="str">
            <v>Tran Huy Vu</v>
          </cell>
          <cell r="E42" t="str">
            <v>HỒ VĂN THANH</v>
          </cell>
          <cell r="F42" t="str">
            <v>HỒ VĂN THANH</v>
          </cell>
          <cell r="G42" t="str">
            <v>Sonthanhngoc074@gmail.com</v>
          </cell>
          <cell r="H42" t="str">
            <v>0909909072</v>
          </cell>
          <cell r="I42" t="str">
            <v>0909909074</v>
          </cell>
          <cell r="J42" t="str">
            <v>PSR</v>
          </cell>
          <cell r="K42" t="str">
            <v>B-shop</v>
          </cell>
          <cell r="L42" t="str">
            <v>Số H1/010B, ấp Nam Sơn, Xã Quang Trung, Huyện Thống Nhất, Tỉnh Đồng Nai, Việt Nam</v>
          </cell>
        </row>
        <row r="43">
          <cell r="B43" t="str">
            <v>LXUAN</v>
          </cell>
          <cell r="C43" t="str">
            <v>Lộc Xuân</v>
          </cell>
          <cell r="D43" t="str">
            <v>Nguyen Thanh</v>
          </cell>
          <cell r="E43" t="str">
            <v>TRẦN NGỌC XUÂN</v>
          </cell>
          <cell r="F43" t="str">
            <v>TRẦN NGỌC XUÂN</v>
          </cell>
          <cell r="G43" t="str">
            <v>congtylocxuanthanhhoa@yahoo.com</v>
          </cell>
          <cell r="H43" t="str">
            <v>0913517936</v>
          </cell>
          <cell r="I43" t="str">
            <v>(0373)770136</v>
          </cell>
          <cell r="J43" t="str">
            <v>PSR</v>
          </cell>
          <cell r="K43" t="str">
            <v>B-shop</v>
          </cell>
          <cell r="L43" t="str">
            <v>106 Võ Chí Công, Xuân La, Tây Hồ, Hà Nội</v>
          </cell>
        </row>
        <row r="44">
          <cell r="B44" t="str">
            <v>AHPHAT</v>
          </cell>
          <cell r="C44" t="str">
            <v>An Hưng Phát</v>
          </cell>
          <cell r="D44" t="str">
            <v>Ngo Quang Truong</v>
          </cell>
          <cell r="E44" t="str">
            <v>DƯƠNG VIẾT LÊ</v>
          </cell>
          <cell r="F44" t="str">
            <v>DƯƠNG VIẾT LÊ</v>
          </cell>
          <cell r="G44" t="str">
            <v>lophunghau@gmail.com</v>
          </cell>
          <cell r="H44" t="str">
            <v>0915 617 777</v>
          </cell>
          <cell r="I44" t="str">
            <v>(0238)3575599</v>
          </cell>
          <cell r="J44" t="str">
            <v>PSR</v>
          </cell>
          <cell r="K44" t="str">
            <v>B-shop</v>
          </cell>
          <cell r="L44" t="str">
            <v>92 Mai Hắc Đế, Thành phố Vinh, Nghệ An</v>
          </cell>
        </row>
        <row r="45">
          <cell r="B45" t="str">
            <v>VIETTIRE</v>
          </cell>
          <cell r="C45" t="str">
            <v>Thái Thịnh Hưng</v>
          </cell>
          <cell r="D45" t="str">
            <v>Vo Dinh Tuong</v>
          </cell>
          <cell r="E45" t="str">
            <v>NGUYỄN KẾ HOÀNG</v>
          </cell>
          <cell r="F45" t="str">
            <v>NGUYỄN KẾ HOÀNG</v>
          </cell>
          <cell r="G45" t="str">
            <v>muahang@viettire.com/ Nguyen Ke Hoang &lt;hoang@viettire.com&gt;</v>
          </cell>
          <cell r="H45" t="str">
            <v>0908877113</v>
          </cell>
          <cell r="I45" t="str">
            <v>(028)38334487</v>
          </cell>
          <cell r="J45" t="str">
            <v>PSR</v>
          </cell>
          <cell r="K45" t="str">
            <v>B-shop</v>
          </cell>
          <cell r="L45" t="str">
            <v>78 Lý Thái Tổ, Phường 2, Quận 3, Thành phố Hồ Chí Minh</v>
          </cell>
        </row>
        <row r="46">
          <cell r="B46" t="str">
            <v>NGOC</v>
          </cell>
          <cell r="C46" t="str">
            <v>BTTC Đồng Nai</v>
          </cell>
          <cell r="D46" t="str">
            <v>Trinh Tran Minh Duc</v>
          </cell>
          <cell r="J46" t="str">
            <v>TBR</v>
          </cell>
          <cell r="L46" t="str">
            <v>Ấp 4, QL.1A, Xã Xuân Hòa, Huyện Xuân Lộc, Tỉnh Đồng Nai, Việt Nam</v>
          </cell>
        </row>
        <row r="47">
          <cell r="B47" t="str">
            <v>HDOAN</v>
          </cell>
          <cell r="C47" t="str">
            <v>Fleetpoint Hùng Doãn</v>
          </cell>
          <cell r="D47" t="str">
            <v>Tran Viet Tien</v>
          </cell>
          <cell r="J47" t="str">
            <v>TBR</v>
          </cell>
          <cell r="L47" t="str">
            <v>Km34, QL1A, Thị trấn Phú Xuyên, Huyện Phú Xuyên, Hà Nội</v>
          </cell>
        </row>
        <row r="48">
          <cell r="B48" t="str">
            <v>MDUNG</v>
          </cell>
          <cell r="C48" t="str">
            <v>Fleetpoint Mạnh Dũng</v>
          </cell>
          <cell r="D48" t="str">
            <v>Nguyen Uy Vu</v>
          </cell>
          <cell r="J48" t="str">
            <v>TBR</v>
          </cell>
          <cell r="L48" t="str">
            <v>Số 448, đường Lương Ngọc Quyến, tổ 6, Phường Đồng Quang, TP Thái Nguyên</v>
          </cell>
        </row>
        <row r="49">
          <cell r="B49" t="str">
            <v>HTUYET</v>
          </cell>
          <cell r="C49" t="str">
            <v>Fleetpoint Hoàng Tuyết</v>
          </cell>
          <cell r="D49" t="str">
            <v>Nguyen Thanh</v>
          </cell>
          <cell r="J49" t="str">
            <v>TBR</v>
          </cell>
          <cell r="L49" t="str">
            <v>Nhà ông Đinh Sỹ Hoàng, Thôn 5, xã Xuân Lĩnh, huyện Nghi Xuân, tỉnh Hà Tĩnh, Việt Nam</v>
          </cell>
        </row>
        <row r="50">
          <cell r="B50" t="str">
            <v>QNAM</v>
          </cell>
          <cell r="C50" t="str">
            <v>Fleetpoint Quốc Nam</v>
          </cell>
          <cell r="D50" t="str">
            <v>Tran Duc</v>
          </cell>
          <cell r="J50" t="str">
            <v>TBR</v>
          </cell>
          <cell r="L50" t="str">
            <v>Số nhà 20, tổ 6, xã Hiệp Thạnh, huyện Đức Trọng, tỉnh Lâm Đồng</v>
          </cell>
        </row>
        <row r="51">
          <cell r="B51" t="str">
            <v>MNGOC</v>
          </cell>
          <cell r="C51" t="str">
            <v>Fleetpoint Minh Ngọc</v>
          </cell>
          <cell r="D51" t="str">
            <v>Vu Van Thanh</v>
          </cell>
          <cell r="J51" t="str">
            <v>TBR</v>
          </cell>
          <cell r="L51" t="str">
            <v>Số 332 đường Lê Thánh Tông, phường Máy Chai, quận Ngô Quyền, thành phố Hải Phòng</v>
          </cell>
        </row>
        <row r="52">
          <cell r="B52" t="str">
            <v>TAN</v>
          </cell>
          <cell r="C52" t="str">
            <v>Fleetpoint Thanh An</v>
          </cell>
          <cell r="D52" t="str">
            <v>Le Quoc Tien</v>
          </cell>
          <cell r="J52" t="str">
            <v>TBR</v>
          </cell>
          <cell r="L52" t="str">
            <v>QL1A, Thôn Quảng Tín, Xã Phước Lộc, Tuy Phước, Bình Định</v>
          </cell>
        </row>
        <row r="53">
          <cell r="B53" t="str">
            <v>VANH</v>
          </cell>
          <cell r="C53" t="str">
            <v>Fleetpoint Vinh Anh</v>
          </cell>
          <cell r="D53" t="str">
            <v>Tran Viet Tien</v>
          </cell>
          <cell r="J53" t="str">
            <v>TBR</v>
          </cell>
          <cell r="L53" t="str">
            <v>Số 606 Đường Xương Giang, Phường Xương Giang, TP. Bắc Giang, Tỉnh Bắc Giang</v>
          </cell>
        </row>
        <row r="54">
          <cell r="B54" t="str">
            <v>DTHAO</v>
          </cell>
          <cell r="C54" t="str">
            <v>Fleetpoint Đăng Thảo</v>
          </cell>
          <cell r="D54" t="str">
            <v>Nguyen Thanh</v>
          </cell>
          <cell r="J54" t="str">
            <v>TBR</v>
          </cell>
          <cell r="L54" t="str">
            <v>Số 435 Lê Duẩn, TP. Đông Hà, tỉnh Quảng Trị</v>
          </cell>
        </row>
        <row r="55">
          <cell r="B55" t="str">
            <v>KPHUC</v>
          </cell>
          <cell r="C55" t="str">
            <v>Fleetpoint Kim Phúc</v>
          </cell>
          <cell r="D55" t="str">
            <v>Le Quoc Tien</v>
          </cell>
          <cell r="J55" t="str">
            <v>TBR</v>
          </cell>
          <cell r="L55" t="str">
            <v>252 Tây Sơn, Tp Quy Nhơn, Bình Định</v>
          </cell>
        </row>
        <row r="56">
          <cell r="B56" t="str">
            <v>TNGHIA</v>
          </cell>
          <cell r="C56" t="str">
            <v>Fleetpoint Tín Nghĩa</v>
          </cell>
          <cell r="D56" t="str">
            <v>Tran Duc</v>
          </cell>
          <cell r="J56" t="str">
            <v>TBR</v>
          </cell>
          <cell r="L56" t="str">
            <v>21 Nguyễn Chí Thanh, Tp. Buôn Mê Thuột, Đăk Lăk</v>
          </cell>
        </row>
        <row r="57">
          <cell r="B57" t="str">
            <v>NHANH</v>
          </cell>
          <cell r="C57" t="str">
            <v>Fleetpoint Ngọc Hạnh</v>
          </cell>
          <cell r="D57" t="str">
            <v>Le Quoc Tien</v>
          </cell>
          <cell r="J57" t="str">
            <v>TBR</v>
          </cell>
          <cell r="L57" t="str">
            <v>Nam Cầu Quá Giáng, QL1A, xã Hòa Phước, huyện Hòa Vang, Đà Nẵng</v>
          </cell>
        </row>
        <row r="58">
          <cell r="B58" t="str">
            <v>TPHUNG</v>
          </cell>
          <cell r="C58" t="str">
            <v>Fleetpoint Thái Phùng</v>
          </cell>
          <cell r="D58" t="str">
            <v>Le Minh Nhut</v>
          </cell>
          <cell r="J58" t="str">
            <v>TBR</v>
          </cell>
          <cell r="L58" t="str">
            <v>245 Ấp Trâm Vàng, xã Thanh Phước, huyện Gò Dầu</v>
          </cell>
        </row>
        <row r="59">
          <cell r="B59" t="str">
            <v>NGOC</v>
          </cell>
          <cell r="C59" t="str">
            <v>Fleetpoint Ngọc Lốp</v>
          </cell>
          <cell r="D59" t="str">
            <v>Trinh Tran Minh Duc</v>
          </cell>
          <cell r="J59" t="str">
            <v>TBR</v>
          </cell>
          <cell r="L59" t="str">
            <v>Thôn Thắng Lợi, Xã Hàm Thắng, Huyện Hàm Thuận Bắc, Bình Thuận</v>
          </cell>
        </row>
        <row r="60">
          <cell r="B60" t="str">
            <v>HTUYET</v>
          </cell>
          <cell r="C60" t="str">
            <v>Fleetpoint Hoàng Tuyết</v>
          </cell>
          <cell r="D60" t="str">
            <v>Nguyen Thanh</v>
          </cell>
          <cell r="J60" t="str">
            <v>TBR</v>
          </cell>
          <cell r="L60" t="str">
            <v>Xóm Cửa Mỏ, Huyện Nghi Yên, Huyện Nghi Lộc, Nghệ An</v>
          </cell>
        </row>
        <row r="61">
          <cell r="B61" t="str">
            <v>NGOC</v>
          </cell>
          <cell r="C61" t="str">
            <v>Fleetpoint Ngọc Lốp</v>
          </cell>
          <cell r="D61" t="str">
            <v>Trinh Tran Minh Duc</v>
          </cell>
          <cell r="J61" t="str">
            <v>TBR</v>
          </cell>
          <cell r="L61" t="str">
            <v>2052 QL 51, Hương Phước, Phước Tân, Biên Hòa, Đồng Nai</v>
          </cell>
        </row>
        <row r="62">
          <cell r="B62" t="str">
            <v>HTU</v>
          </cell>
          <cell r="C62" t="str">
            <v>Fleetpoint Hoàng Tư</v>
          </cell>
          <cell r="D62" t="str">
            <v>Le Minh Nhut</v>
          </cell>
          <cell r="J62" t="str">
            <v>TBR</v>
          </cell>
          <cell r="L62" t="str">
            <v>2517 Quốc lộ 1A, Tổ 9, Khu phố 4, Phường Tân Hưng Thuận, Quận 12, Thành phố Hồ Chí Minh, Việt Nam</v>
          </cell>
        </row>
        <row r="63">
          <cell r="B63" t="str">
            <v>ADPHAT</v>
          </cell>
          <cell r="C63" t="str">
            <v>Fleetpoint An Đại Phát</v>
          </cell>
          <cell r="D63" t="str">
            <v>Vu Van Thanh</v>
          </cell>
          <cell r="J63" t="str">
            <v>TBR</v>
          </cell>
          <cell r="L63" t="str">
            <v>Thôn Quỳnh Khê, Xã Kim Xuyên, Huyện Kim Thành, Tỉnh Hải Dương, Việt Nam</v>
          </cell>
        </row>
        <row r="64">
          <cell r="B64" t="str">
            <v>HTPHAT</v>
          </cell>
          <cell r="C64" t="str">
            <v>Fleetpoint Hưng Thịnh Phát</v>
          </cell>
          <cell r="D64" t="str">
            <v>Nguyen Uy Vu</v>
          </cell>
          <cell r="J64" t="str">
            <v>TBR</v>
          </cell>
          <cell r="L64" t="str">
            <v>Đầm Cả, TT Hương Canh, Huyện Bình Xuyên, Vĩnh Phúc</v>
          </cell>
        </row>
        <row r="65">
          <cell r="B65" t="str">
            <v>PANH2</v>
          </cell>
          <cell r="C65" t="str">
            <v>Phú Anh</v>
          </cell>
          <cell r="D65" t="str">
            <v>Tran Minh Tri</v>
          </cell>
          <cell r="J65" t="str">
            <v>TBR</v>
          </cell>
          <cell r="L65" t="str">
            <v>QL1A, Long Tường Long An, Châu Thành, Tiền Giang</v>
          </cell>
        </row>
        <row r="66">
          <cell r="B66" t="str">
            <v>KNGO</v>
          </cell>
          <cell r="C66" t="str">
            <v>Khang Ngô</v>
          </cell>
          <cell r="D66" t="str">
            <v>Vo Dinh Tuong</v>
          </cell>
          <cell r="E66" t="str">
            <v>NGÔ ĐÌNH KHẢI</v>
          </cell>
          <cell r="F66" t="str">
            <v>NGÔ ĐÌNH KHẢI</v>
          </cell>
          <cell r="G66" t="str">
            <v>congty.tnhh.khangngo@gmail.com</v>
          </cell>
          <cell r="H66" t="str">
            <v>090 909 82 82</v>
          </cell>
          <cell r="I66" t="str">
            <v>090 909 82 82</v>
          </cell>
          <cell r="J66" t="str">
            <v>PSR</v>
          </cell>
          <cell r="K66" t="str">
            <v>B-shop</v>
          </cell>
          <cell r="L66" t="str">
            <v>Số 01 Đường số 28 Khu Trung tâm hành chính tỉnh Phường 6, Long An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Danh sach các competitors"/>
      <sheetName val="FC Evaluation"/>
      <sheetName val="Bảng câu hỏi về sản phẩm"/>
      <sheetName val="Bảng câu hỏi về non tires"/>
      <sheetName val="Bảng câu hỏi về tình huống"/>
    </sheetNames>
    <sheetDataSet>
      <sheetData sheetId="0">
        <row r="2">
          <cell r="B2" t="str">
            <v>Short Name</v>
          </cell>
          <cell r="C2" t="str">
            <v>DEALER viet hoa</v>
          </cell>
          <cell r="D2" t="str">
            <v>Type of dealer</v>
          </cell>
          <cell r="E2" t="str">
            <v>Name</v>
          </cell>
          <cell r="F2" t="str">
            <v>ADDRESS</v>
          </cell>
          <cell r="G2" t="str">
            <v>Mr/Ms</v>
          </cell>
          <cell r="H2" t="str">
            <v>Manager</v>
          </cell>
          <cell r="I2" t="str">
            <v>Email</v>
          </cell>
          <cell r="J2" t="str">
            <v>Phone</v>
          </cell>
          <cell r="K2" t="str">
            <v>Bảng hiệu</v>
          </cell>
          <cell r="L2" t="str">
            <v>Bảng vẫy</v>
          </cell>
          <cell r="M2" t="str">
            <v>Hệ thống 
đèn</v>
          </cell>
          <cell r="N2" t="str">
            <v>Hệ thống 
Cửa cuốn</v>
          </cell>
          <cell r="O2" t="str">
            <v>Waiting room</v>
          </cell>
          <cell r="P2" t="str">
            <v>Máy ra vào lốp</v>
          </cell>
          <cell r="Q2" t="str">
            <v>Máy cân mâm bấm chì</v>
          </cell>
          <cell r="R2" t="str">
            <v>Máy cân chỉnh thước lái</v>
          </cell>
        </row>
        <row r="3">
          <cell r="B3" t="str">
            <v>DCHU</v>
          </cell>
          <cell r="C3" t="str">
            <v>CÔNG TY TNHH DÂN CHỦ</v>
          </cell>
          <cell r="D3" t="str">
            <v>B-select</v>
          </cell>
          <cell r="E3" t="str">
            <v>Dân Chủ</v>
          </cell>
          <cell r="F3" t="str">
            <v>Số 140 Trần Phú, Hà Đông, Hà Nội</v>
          </cell>
          <cell r="G3" t="str">
            <v>Ông</v>
          </cell>
          <cell r="H3" t="str">
            <v>BẠCH VI CHỦ</v>
          </cell>
          <cell r="I3" t="str">
            <v>info@lopotodanchu.com.vn</v>
          </cell>
          <cell r="J3" t="str">
            <v>0983327066</v>
          </cell>
          <cell r="K3">
            <v>1</v>
          </cell>
          <cell r="L3">
            <v>0</v>
          </cell>
          <cell r="M3">
            <v>1</v>
          </cell>
          <cell r="N3">
            <v>1</v>
          </cell>
          <cell r="O3">
            <v>1</v>
          </cell>
          <cell r="P3">
            <v>2</v>
          </cell>
          <cell r="Q3">
            <v>2</v>
          </cell>
          <cell r="R3">
            <v>1</v>
          </cell>
        </row>
        <row r="4">
          <cell r="B4" t="str">
            <v>BHIEN</v>
          </cell>
          <cell r="C4" t="str">
            <v>CÔNG TY TNHH TM BÍCH HIỀN</v>
          </cell>
          <cell r="D4" t="str">
            <v>B-select</v>
          </cell>
          <cell r="E4" t="str">
            <v>Bích Hiền</v>
          </cell>
          <cell r="F4" t="str">
            <v>131-133 Lê Đình Dương, P. Nam Dương, Q. Hải Châu, TP. Đà Nẵng</v>
          </cell>
          <cell r="G4" t="str">
            <v>Ông</v>
          </cell>
          <cell r="H4" t="str">
            <v>VÕ VĂN CHẨM</v>
          </cell>
          <cell r="I4" t="str">
            <v>bichhien_183PCT@yahoo.com</v>
          </cell>
          <cell r="J4" t="str">
            <v>0903501603</v>
          </cell>
          <cell r="K4">
            <v>1</v>
          </cell>
          <cell r="L4">
            <v>0</v>
          </cell>
          <cell r="M4">
            <v>1</v>
          </cell>
          <cell r="N4">
            <v>1</v>
          </cell>
          <cell r="O4">
            <v>1</v>
          </cell>
          <cell r="P4">
            <v>2</v>
          </cell>
          <cell r="Q4">
            <v>2</v>
          </cell>
          <cell r="R4">
            <v>1</v>
          </cell>
        </row>
        <row r="5">
          <cell r="B5" t="str">
            <v>TNKHUONG</v>
          </cell>
          <cell r="C5" t="str">
            <v>DOANH NGHIỆP TƯ NHÂN TÂN NĂM KHƯƠNG</v>
          </cell>
          <cell r="D5" t="str">
            <v>B-select</v>
          </cell>
          <cell r="E5" t="str">
            <v>Tân Năm Khương</v>
          </cell>
          <cell r="F5" t="str">
            <v>1103 Phạm Văn Thuận, Biên Hòa, Đồng Nai</v>
          </cell>
          <cell r="G5" t="str">
            <v>Ông</v>
          </cell>
          <cell r="H5" t="str">
            <v>NGUYỄN HỮU KHA</v>
          </cell>
          <cell r="I5" t="str">
            <v>namkhuongbh@gmail.com</v>
          </cell>
          <cell r="J5" t="str">
            <v>0919692923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</row>
        <row r="6">
          <cell r="B6" t="str">
            <v>YPHONG</v>
          </cell>
          <cell r="C6" t="str">
            <v>CÔNG TY TNHH YẾN PHONG</v>
          </cell>
          <cell r="D6" t="str">
            <v>B-select</v>
          </cell>
          <cell r="E6" t="str">
            <v>Yến Phong</v>
          </cell>
          <cell r="F6" t="str">
            <v>111/2, Khu phố 1, P. Thạnh Xuân, Q. 12, TP. HCM</v>
          </cell>
          <cell r="G6" t="str">
            <v>Ông</v>
          </cell>
          <cell r="H6" t="str">
            <v>PHAN THỊ YẾN</v>
          </cell>
          <cell r="I6" t="str">
            <v>thanhphat48@gmail.com</v>
          </cell>
          <cell r="J6" t="str">
            <v>0909293103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</row>
        <row r="7">
          <cell r="B7" t="str">
            <v>TPHAT</v>
          </cell>
          <cell r="C7" t="str">
            <v>CÔNG TY TNHH YẾN PHONG</v>
          </cell>
          <cell r="D7" t="str">
            <v>B-select</v>
          </cell>
          <cell r="E7" t="str">
            <v>Thành Phát</v>
          </cell>
          <cell r="F7" t="str">
            <v>48 Lý Thái Tổ, Phường 1, Quận 3, TPHCM</v>
          </cell>
          <cell r="G7" t="str">
            <v>Bà</v>
          </cell>
          <cell r="H7" t="str">
            <v>NGUYỄN BẢO PHONG</v>
          </cell>
          <cell r="I7" t="str">
            <v>sales@trungtamvoxe.com</v>
          </cell>
          <cell r="J7" t="str">
            <v>0903912553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</row>
        <row r="8">
          <cell r="B8" t="str">
            <v>NQUOC</v>
          </cell>
          <cell r="C8" t="str">
            <v>CÔNG TY TNHH DV TM ÔTÔ NĂM QUỐC</v>
          </cell>
          <cell r="D8" t="str">
            <v>B-select</v>
          </cell>
          <cell r="E8" t="str">
            <v>Năm Quốc</v>
          </cell>
          <cell r="F8" t="str">
            <v>391 Đại lộ Bình Dương, tổ 1, KP12, P. Chánh Nghĩa, TP. Thủ Dầu Một, tỉnh Bình Dương</v>
          </cell>
          <cell r="G8" t="str">
            <v>Ông</v>
          </cell>
          <cell r="H8" t="str">
            <v>Phùng Quốc Kỳ</v>
          </cell>
          <cell r="I8" t="str">
            <v>namquoc.voxe@gmail.com</v>
          </cell>
          <cell r="J8" t="str">
            <v>0938573337</v>
          </cell>
          <cell r="K8">
            <v>1</v>
          </cell>
          <cell r="L8">
            <v>0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</row>
        <row r="9">
          <cell r="B9" t="str">
            <v>TNGHIA</v>
          </cell>
          <cell r="C9" t="str">
            <v>CÔNG TY TNHH DỊCH VỤ &amp; VẬN TẢI TÍN NGHĨA</v>
          </cell>
          <cell r="D9" t="str">
            <v>B-select</v>
          </cell>
          <cell r="E9" t="str">
            <v>Tín Nghĩa</v>
          </cell>
          <cell r="F9" t="str">
            <v>203-205 Lê Thánh Tông , P.Tân Lợi, Tp.Buôn Ma Thuột , Daklak</v>
          </cell>
          <cell r="G9" t="str">
            <v>Ông</v>
          </cell>
          <cell r="H9" t="str">
            <v>NGUYỄN QUANG VINH</v>
          </cell>
          <cell r="I9" t="str">
            <v>voxetinnghia@yahoo.com</v>
          </cell>
          <cell r="J9" t="str">
            <v>0978494469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2</v>
          </cell>
          <cell r="Q9">
            <v>2</v>
          </cell>
          <cell r="R9">
            <v>1</v>
          </cell>
        </row>
        <row r="10">
          <cell r="B10" t="str">
            <v>TLY</v>
          </cell>
          <cell r="C10" t="str">
            <v>DOANH NGHIỆP TƯ NHÂN THUẦN LÝ</v>
          </cell>
          <cell r="D10" t="str">
            <v>B-select</v>
          </cell>
          <cell r="E10" t="str">
            <v>Thuần Lý</v>
          </cell>
          <cell r="F10" t="str">
            <v>64 Hùng Vương, thành phố Pleiku, tỉnh Gia Lai</v>
          </cell>
          <cell r="G10" t="str">
            <v>Bà</v>
          </cell>
          <cell r="H10" t="str">
            <v>HỒ THỊ LÝ</v>
          </cell>
          <cell r="I10" t="str">
            <v>lopotothuanlygl@gmail.com</v>
          </cell>
          <cell r="J10" t="str">
            <v>0903536556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2</v>
          </cell>
          <cell r="Q10">
            <v>1</v>
          </cell>
          <cell r="R10">
            <v>1</v>
          </cell>
        </row>
        <row r="11">
          <cell r="B11" t="str">
            <v>VLOITIRE</v>
          </cell>
          <cell r="C11" t="str">
            <v>CÔNG TY TNHH VỎ XE VẠN LỢI</v>
          </cell>
          <cell r="D11" t="str">
            <v>B-select</v>
          </cell>
          <cell r="E11" t="str">
            <v>Vạn Lợi</v>
          </cell>
          <cell r="F11" t="str">
            <v>Số 2, đường số  8, P.Tân Mỹ, Q.7, TP.Hồ Chí Minh</v>
          </cell>
          <cell r="G11" t="str">
            <v>Ông</v>
          </cell>
          <cell r="H11" t="str">
            <v>NGUYỄN ĐỨC</v>
          </cell>
          <cell r="I11" t="str">
            <v>vanloi@voxevanloi.vn</v>
          </cell>
          <cell r="J11" t="str">
            <v>0903618013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2</v>
          </cell>
          <cell r="Q11">
            <v>1</v>
          </cell>
          <cell r="R11">
            <v>1</v>
          </cell>
        </row>
        <row r="12">
          <cell r="B12" t="str">
            <v>OTO24</v>
          </cell>
          <cell r="C12" t="str">
            <v>CTY TNHH MTV TM VA DV CHĂM SÓC - BẢO DƯỠNG Ô TÔ 24</v>
          </cell>
          <cell r="D12" t="str">
            <v>B-select</v>
          </cell>
          <cell r="E12" t="str">
            <v>ÔTÔ24</v>
          </cell>
          <cell r="F12" t="str">
            <v>212 Nguyễn Văn Linh, P.Hưng Lợi, Q.Ninh Kiều, TP. Cần Thơ</v>
          </cell>
          <cell r="G12" t="str">
            <v>Bà</v>
          </cell>
          <cell r="H12" t="str">
            <v>ĐĂNG NGỌC LINH</v>
          </cell>
          <cell r="I12" t="str">
            <v>autocare24.vn@gmail.com</v>
          </cell>
          <cell r="J12" t="str">
            <v>0968682424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2</v>
          </cell>
          <cell r="Q12">
            <v>1</v>
          </cell>
          <cell r="R12">
            <v>1</v>
          </cell>
        </row>
        <row r="13">
          <cell r="B13" t="str">
            <v>TPHUNG</v>
          </cell>
          <cell r="C13" t="str">
            <v>CÔNG TY TNHH THÁI PHÙNG</v>
          </cell>
          <cell r="D13" t="str">
            <v>B-select</v>
          </cell>
          <cell r="E13" t="str">
            <v>Thái Phùng</v>
          </cell>
          <cell r="F13" t="str">
            <v>212 Phạm Hùng, ấp Long Thới, xã Long Thành Trung, huyện Hòa Thành, Tây Ninh</v>
          </cell>
          <cell r="G13" t="str">
            <v>Ông</v>
          </cell>
          <cell r="H13" t="str">
            <v>TRẦN THÁI PHÙNG</v>
          </cell>
          <cell r="I13" t="str">
            <v>thaiphungtayninh@yahoo.com.vn</v>
          </cell>
          <cell r="J13" t="str">
            <v>0937257527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2</v>
          </cell>
          <cell r="Q13">
            <v>1</v>
          </cell>
          <cell r="R13">
            <v>1</v>
          </cell>
        </row>
        <row r="14">
          <cell r="B14" t="str">
            <v>TPHUONG</v>
          </cell>
          <cell r="C14" t="str">
            <v>CÔNG TY TNHH THƯƠNG MẠI THÁI PHƯƠNG</v>
          </cell>
          <cell r="D14" t="str">
            <v>B-select</v>
          </cell>
          <cell r="E14" t="str">
            <v>Thái Phương</v>
          </cell>
          <cell r="F14" t="str">
            <v>B1-2 phố Việt Hưng, P. Việt Hưng, Q. Long Biên, TP. Hà Nội</v>
          </cell>
          <cell r="G14" t="str">
            <v>Bà</v>
          </cell>
          <cell r="H14" t="str">
            <v>NGUYỄN THỊ PHƯƠNG CHUNG</v>
          </cell>
          <cell r="I14" t="str">
            <v>lopotothaiphuong@gmail.com</v>
          </cell>
          <cell r="J14" t="str">
            <v>0915 558 010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</row>
        <row r="15">
          <cell r="B15" t="str">
            <v>MNGOC</v>
          </cell>
          <cell r="C15" t="str">
            <v>CÔNG TY TNHH THƯƠNG MẠI VÀ DU LỊCH MINH NGỌC</v>
          </cell>
          <cell r="D15" t="str">
            <v>B-select</v>
          </cell>
          <cell r="E15" t="str">
            <v>Minh Ngọc</v>
          </cell>
          <cell r="F15" t="str">
            <v>267 Lê Thánh Tông, phường Máy Chai, quận Ngô Quyền, thành phố Hải Phòng</v>
          </cell>
          <cell r="G15" t="str">
            <v>Bà</v>
          </cell>
          <cell r="H15" t="str">
            <v>NGUYỄN THỊ LỆ THỦY</v>
          </cell>
          <cell r="I15" t="str">
            <v>congtyminhngoc2014@gmail.com</v>
          </cell>
          <cell r="J15" t="str">
            <v>0904330899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</row>
        <row r="16">
          <cell r="B16" t="str">
            <v>XTUNG</v>
          </cell>
          <cell r="C16" t="str">
            <v>CÔNG TY TNHH XUÂN TÙNG</v>
          </cell>
          <cell r="D16" t="str">
            <v>B-select</v>
          </cell>
          <cell r="E16" t="str">
            <v>Xuân Tùng</v>
          </cell>
          <cell r="F16" t="str">
            <v>640, Lạc Long Quân, Phú Thượng, Tây Hồ, Hà Nội</v>
          </cell>
          <cell r="G16" t="str">
            <v>Bà</v>
          </cell>
          <cell r="H16" t="str">
            <v>PHAN TỐ NGA</v>
          </cell>
          <cell r="I16" t="str">
            <v>congtytnhhxuantung@gmail.com</v>
          </cell>
          <cell r="J16" t="str">
            <v>0906161685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</row>
        <row r="17">
          <cell r="B17" t="str">
            <v>BESTVN</v>
          </cell>
          <cell r="C17" t="str">
            <v>CÔNG TY TNHH THƯƠNG MẠI VÀ DỊCH VỤ BEST VN</v>
          </cell>
          <cell r="D17" t="str">
            <v>B-shop</v>
          </cell>
          <cell r="E17" t="str">
            <v>BESTVN</v>
          </cell>
          <cell r="F17" t="str">
            <v>Số nhà 42-44 Ngô Gia Tự, Phường Vũ Ninh, TP. Bắc Ninh, tỉnh Bắc Ninh</v>
          </cell>
          <cell r="G17" t="str">
            <v>Ông</v>
          </cell>
          <cell r="H17" t="str">
            <v>NGUYỄN VĂN ƯỚC</v>
          </cell>
          <cell r="I17" t="str">
            <v>bestvn111@gmail.com</v>
          </cell>
          <cell r="J17" t="str">
            <v>0969796005</v>
          </cell>
          <cell r="K17">
            <v>1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0</v>
          </cell>
        </row>
        <row r="18">
          <cell r="B18" t="str">
            <v>GKHOA</v>
          </cell>
          <cell r="C18" t="str">
            <v>CÔNG TY TNHH GIA KHOA</v>
          </cell>
          <cell r="D18" t="str">
            <v>B-shop</v>
          </cell>
          <cell r="E18" t="str">
            <v>Gia Khoa</v>
          </cell>
          <cell r="F18" t="str">
            <v>2A/436 Bạch Đằng, P. Chương Dương, Q. Hoàn Kiếm, Hà Nội</v>
          </cell>
          <cell r="G18" t="str">
            <v>Ông</v>
          </cell>
          <cell r="H18" t="str">
            <v>PHẠM VIẾT LÝ</v>
          </cell>
          <cell r="I18" t="str">
            <v>giakhoaco.ltd@gmail.com</v>
          </cell>
          <cell r="J18" t="str">
            <v>094499992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0</v>
          </cell>
        </row>
        <row r="19">
          <cell r="B19" t="str">
            <v>MDUNG</v>
          </cell>
          <cell r="C19" t="str">
            <v>DOANH NGHIỆP TƯ NHÂN MẠNH DŨNG</v>
          </cell>
          <cell r="D19" t="str">
            <v>B-shop</v>
          </cell>
          <cell r="E19" t="str">
            <v>Mạnh Dũng</v>
          </cell>
          <cell r="F19" t="str">
            <v>448 Lương Ngọc Quyến, P. Đồng Quang, TP. Thái Nguyên</v>
          </cell>
          <cell r="G19" t="str">
            <v>Ông</v>
          </cell>
          <cell r="H19" t="str">
            <v>NGUYỄN MẠNH DŨNG</v>
          </cell>
          <cell r="I19" t="str">
            <v>doanhnghiepmanhdung@gmail.com</v>
          </cell>
          <cell r="J19" t="str">
            <v>0915494455</v>
          </cell>
          <cell r="K19">
            <v>1</v>
          </cell>
          <cell r="L19">
            <v>0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</row>
        <row r="20">
          <cell r="B20" t="str">
            <v>PNHUNG</v>
          </cell>
          <cell r="C20" t="str">
            <v>DOANH NGHIỆP TƯ NHÂN ĐẦU TƯ VÀ PHÁT TRIỂN PHƯƠNG NHUNG</v>
          </cell>
          <cell r="D20" t="str">
            <v>B-shop</v>
          </cell>
          <cell r="E20" t="str">
            <v>Phương Nhung</v>
          </cell>
          <cell r="F20" t="str">
            <v>Số 381, khu phố 1, đường Hùng Vương, phường Đồng Tâm, Thành phố Vĩnh Yên, tỉnh Vĩnh Phúc</v>
          </cell>
          <cell r="G20" t="str">
            <v>Bà</v>
          </cell>
          <cell r="H20" t="str">
            <v>TRẦN VĂN PHƯƠNG</v>
          </cell>
          <cell r="I20" t="str">
            <v>phuongnhungvp@gmail.com</v>
          </cell>
          <cell r="J20" t="str">
            <v>0913517354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</row>
        <row r="21">
          <cell r="B21" t="str">
            <v>AVNHAT</v>
          </cell>
          <cell r="C21" t="str">
            <v>CÔNG TY TNHH THƯƠNG MẠI AN VIỆT NHẬT</v>
          </cell>
          <cell r="D21" t="str">
            <v>B-shop</v>
          </cell>
          <cell r="E21" t="str">
            <v>An Việt Nhật</v>
          </cell>
          <cell r="F21" t="str">
            <v>Km8, quốc lộ 1A, P.Hoàng Liệt, Q. Hoàng Mai, Hà Nội</v>
          </cell>
          <cell r="G21" t="str">
            <v>Ông</v>
          </cell>
          <cell r="H21" t="str">
            <v>NGUYỄN HIỀN AN</v>
          </cell>
          <cell r="I21" t="str">
            <v>lopotoanvietnhat@gmail.com, haanvietnhat@gmail.com</v>
          </cell>
          <cell r="J21" t="str">
            <v>0913 300 489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</row>
        <row r="22">
          <cell r="B22" t="str">
            <v>HHUNG</v>
          </cell>
          <cell r="C22" t="str">
            <v>CÔNG TY TNHH HOÀNG HÙNG</v>
          </cell>
          <cell r="D22" t="str">
            <v>B-shop</v>
          </cell>
          <cell r="E22" t="str">
            <v>Hoàng Hùng</v>
          </cell>
          <cell r="F22" t="str">
            <v>50 Yên Phụ, P. Nguyễn Trung Trực, Q. Ba Đình, Hà Nội</v>
          </cell>
          <cell r="G22" t="str">
            <v>Ông</v>
          </cell>
          <cell r="H22" t="str">
            <v>NGUYỄN VĂN HÙNG</v>
          </cell>
          <cell r="I22" t="str">
            <v>hoanghung.lop@gmail.com</v>
          </cell>
          <cell r="J22" t="str">
            <v>0947 889 399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2</v>
          </cell>
          <cell r="R22">
            <v>1</v>
          </cell>
        </row>
        <row r="23">
          <cell r="B23" t="str">
            <v>DTHAO</v>
          </cell>
          <cell r="C23" t="str">
            <v>CÔNG TY TNHH ĐĂNG THẢO</v>
          </cell>
          <cell r="D23" t="str">
            <v>B-shop</v>
          </cell>
          <cell r="E23" t="str">
            <v>Đăng Thảo</v>
          </cell>
          <cell r="F23" t="str">
            <v>324 Lê Duẩn, Đông Hà, Quảng Trị</v>
          </cell>
          <cell r="G23" t="str">
            <v>Ông</v>
          </cell>
          <cell r="H23" t="str">
            <v>ĐỖ ĐĂNG THẢO</v>
          </cell>
          <cell r="I23" t="str">
            <v>thangndqt87@gmail.com,dotrinh201@gmail.com</v>
          </cell>
          <cell r="J23" t="str">
            <v>0901 165666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2</v>
          </cell>
          <cell r="R23">
            <v>1</v>
          </cell>
        </row>
        <row r="24">
          <cell r="B24" t="str">
            <v>QVINH</v>
          </cell>
          <cell r="C24" t="str">
            <v>CÔNG TY CỔ PHẦN ĐẦU TƯ VÀ XÂY DỰNG QUANG VINH</v>
          </cell>
          <cell r="D24" t="str">
            <v>B-shop</v>
          </cell>
          <cell r="E24" t="str">
            <v>Quang Vinh</v>
          </cell>
          <cell r="F24" t="str">
            <v>Số 685 Bà Triệu, Phường Trường Thi, Thành Phố Thanh Hóa</v>
          </cell>
          <cell r="G24" t="str">
            <v>Ông</v>
          </cell>
          <cell r="H24" t="str">
            <v>NGUYỄN ĐĂNG VINH</v>
          </cell>
          <cell r="I24" t="str">
            <v>quangvinh.ctcp@gmail.com</v>
          </cell>
          <cell r="J24" t="str">
            <v>0944 446 868</v>
          </cell>
          <cell r="K24">
            <v>1</v>
          </cell>
          <cell r="L24">
            <v>0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</row>
        <row r="25">
          <cell r="B25" t="str">
            <v>PHAI</v>
          </cell>
          <cell r="C25" t="str">
            <v xml:space="preserve">DOANH NGHIỆP TƯ NHÂN TỐT PHƯỚC HẢI </v>
          </cell>
          <cell r="D25" t="str">
            <v>B-shop</v>
          </cell>
          <cell r="E25" t="str">
            <v>Tốt Phước Hải</v>
          </cell>
          <cell r="F25" t="str">
            <v>344B Lý Thái Tổ, Phường 1, Quận 3, TP.HCM</v>
          </cell>
          <cell r="G25" t="str">
            <v>Bà</v>
          </cell>
          <cell r="H25" t="str">
            <v>NGUYỄN THỊ VỮNG</v>
          </cell>
          <cell r="I25" t="str">
            <v>ketoanphuochai@gmail.com</v>
          </cell>
          <cell r="J25" t="str">
            <v>0943656063</v>
          </cell>
          <cell r="K25">
            <v>1</v>
          </cell>
          <cell r="L25">
            <v>0</v>
          </cell>
          <cell r="M25">
            <v>1</v>
          </cell>
          <cell r="N25">
            <v>1</v>
          </cell>
          <cell r="O25">
            <v>1</v>
          </cell>
          <cell r="P25">
            <v>2</v>
          </cell>
          <cell r="Q25">
            <v>1</v>
          </cell>
          <cell r="R25">
            <v>0</v>
          </cell>
        </row>
        <row r="26">
          <cell r="B26" t="str">
            <v>HTAN</v>
          </cell>
          <cell r="C26" t="str">
            <v>DOANH NGHIỆP TƯ NHÂN HUỲNH TẤN</v>
          </cell>
          <cell r="D26" t="str">
            <v>B-shop</v>
          </cell>
          <cell r="E26" t="str">
            <v>Huỳnh Tấn</v>
          </cell>
          <cell r="F26" t="str">
            <v>11 Huyền Trân Công Chúa, Phường 8, Tp.Vũng Tàu</v>
          </cell>
          <cell r="G26" t="str">
            <v>Ông</v>
          </cell>
          <cell r="H26" t="str">
            <v>HUỲNH TẤN HUÂN</v>
          </cell>
          <cell r="I26" t="str">
            <v>huynhtanhuan@yahoo.com.vn</v>
          </cell>
          <cell r="J26" t="str">
            <v>0902632834</v>
          </cell>
          <cell r="K26">
            <v>1</v>
          </cell>
          <cell r="L26">
            <v>0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0</v>
          </cell>
        </row>
        <row r="27">
          <cell r="B27" t="str">
            <v>VLOITIRE</v>
          </cell>
          <cell r="C27" t="str">
            <v>CÔNG TY TNHH VỎ XE VẠN LỢI</v>
          </cell>
          <cell r="D27" t="str">
            <v>B-shop</v>
          </cell>
          <cell r="E27" t="str">
            <v>Vạn Lợi</v>
          </cell>
          <cell r="F27" t="str">
            <v>342-344A Lý Thái Tổ, P1, Q3, TPHCM</v>
          </cell>
          <cell r="G27" t="str">
            <v>Ông</v>
          </cell>
          <cell r="H27" t="str">
            <v>NGUYỄN ĐỨC</v>
          </cell>
          <cell r="I27" t="str">
            <v>vanloigia@yahoo.com.vn</v>
          </cell>
          <cell r="J27" t="str">
            <v>0903618013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2</v>
          </cell>
          <cell r="Q27">
            <v>1</v>
          </cell>
          <cell r="R27">
            <v>0</v>
          </cell>
        </row>
        <row r="28">
          <cell r="B28" t="str">
            <v>HLINH</v>
          </cell>
          <cell r="C28" t="str">
            <v>CÔNG TY TNHH MTV HOÀNG LĨNH</v>
          </cell>
          <cell r="D28" t="str">
            <v>B-shop</v>
          </cell>
          <cell r="E28" t="str">
            <v>Hoàng Lĩnh</v>
          </cell>
          <cell r="F28" t="str">
            <v>666/6 Phạm Cự Lượng, khóm Tân Phú, P. Mỹ Quý, TP. Long Xuyên, An Giang</v>
          </cell>
          <cell r="G28" t="str">
            <v>Ông</v>
          </cell>
          <cell r="H28" t="str">
            <v>NGUYỄN HOÀNG GIANG</v>
          </cell>
          <cell r="I28" t="str">
            <v>hoanggianglx@gmail.com</v>
          </cell>
          <cell r="J28" t="str">
            <v>0918212555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2</v>
          </cell>
          <cell r="Q28">
            <v>1</v>
          </cell>
          <cell r="R28">
            <v>1</v>
          </cell>
        </row>
        <row r="29">
          <cell r="B29" t="str">
            <v>THLONG</v>
          </cell>
          <cell r="C29" t="str">
            <v>CÔNG TY TNHH THANH LONG</v>
          </cell>
          <cell r="D29" t="str">
            <v>B-shop</v>
          </cell>
          <cell r="E29" t="str">
            <v>Thanh Long</v>
          </cell>
          <cell r="F29" t="str">
            <v>78/5C Quốc lộ 13, phường 26, quận Bình Thạnh, TP. HCM</v>
          </cell>
          <cell r="G29" t="str">
            <v>Ông</v>
          </cell>
          <cell r="H29" t="str">
            <v>PHAN HẠ</v>
          </cell>
          <cell r="I29" t="str">
            <v>thlongcom@yahoo.com.vn</v>
          </cell>
          <cell r="J29" t="str">
            <v>0909 355283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2</v>
          </cell>
          <cell r="Q29">
            <v>1</v>
          </cell>
          <cell r="R29">
            <v>1</v>
          </cell>
        </row>
        <row r="30">
          <cell r="B30" t="str">
            <v>XTUNG</v>
          </cell>
          <cell r="C30" t="str">
            <v>CÔNG TY TNHH XUÂN TÙNG</v>
          </cell>
          <cell r="D30" t="str">
            <v>B-shop</v>
          </cell>
          <cell r="E30" t="str">
            <v>Xuân Tùng</v>
          </cell>
          <cell r="F30" t="str">
            <v>69A Hai Bà Trưng, P. Cửa Nam, Hoàn Kiếm, Hà Nội</v>
          </cell>
          <cell r="G30" t="str">
            <v>Ông</v>
          </cell>
          <cell r="H30" t="str">
            <v>NHỮ XUÂN TÙNG</v>
          </cell>
          <cell r="I30" t="str">
            <v>congtytnhhxuantung@gmail.com</v>
          </cell>
          <cell r="J30" t="str">
            <v>0906 161 685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</row>
        <row r="31">
          <cell r="B31" t="str">
            <v>TDUC</v>
          </cell>
          <cell r="C31" t="str">
            <v>CÔNG TY TNHH MTV TRẦN ĐỨC</v>
          </cell>
          <cell r="D31" t="str">
            <v>B-shop</v>
          </cell>
          <cell r="E31" t="str">
            <v>Trần Đức</v>
          </cell>
          <cell r="F31" t="str">
            <v>219 Quốc lộ 14, Phường Tân Thiện, TX. Đồng Xoài, Tỉnh Bình Phước</v>
          </cell>
          <cell r="G31" t="str">
            <v>Bà</v>
          </cell>
          <cell r="H31" t="str">
            <v>TRƯƠNG THỊ HƯƠNG</v>
          </cell>
          <cell r="I31" t="str">
            <v>lopxetranduc@gmail.com</v>
          </cell>
          <cell r="J31" t="str">
            <v>0944070707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2</v>
          </cell>
          <cell r="Q31">
            <v>1</v>
          </cell>
          <cell r="R31">
            <v>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B3" t="str">
            <v>Cus ID</v>
          </cell>
          <cell r="C3" t="str">
            <v>Group</v>
          </cell>
          <cell r="D3" t="str">
            <v>Sales Channel</v>
          </cell>
          <cell r="E3" t="str">
            <v>Province</v>
          </cell>
          <cell r="F3" t="str">
            <v>Note</v>
          </cell>
          <cell r="G3" t="str">
            <v xml:space="preserve">Địa chỉ </v>
          </cell>
          <cell r="H3" t="str">
            <v>Contact</v>
          </cell>
          <cell r="I3" t="str">
            <v>Kích thước banner</v>
          </cell>
        </row>
        <row r="4">
          <cell r="B4" t="str">
            <v>MNGOC</v>
          </cell>
          <cell r="C4" t="str">
            <v>PSR</v>
          </cell>
          <cell r="D4" t="str">
            <v>BSL</v>
          </cell>
          <cell r="E4" t="str">
            <v>Hai Phong</v>
          </cell>
          <cell r="F4"/>
          <cell r="G4" t="str">
            <v>267 Lê Thánh Tông, phường Máy Chai, quận Ngô Quyền, thành phố Hải Phòng</v>
          </cell>
          <cell r="H4" t="str">
            <v>0904330899</v>
          </cell>
          <cell r="I4" t="str">
            <v>1x10</v>
          </cell>
        </row>
        <row r="5">
          <cell r="B5" t="str">
            <v>NQUOC</v>
          </cell>
          <cell r="C5" t="str">
            <v>PSR</v>
          </cell>
          <cell r="D5" t="str">
            <v>BSL</v>
          </cell>
          <cell r="E5" t="str">
            <v>Binh Duong</v>
          </cell>
          <cell r="F5"/>
          <cell r="G5" t="str">
            <v>391 Đại lộ Bình Dương, tổ 1, KP12, P. Chánh Nghĩa, TP. Thủ Dầu Một, tỉnh Bình Dương</v>
          </cell>
          <cell r="H5" t="str">
            <v>0938573337</v>
          </cell>
          <cell r="I5" t="str">
            <v>1 x 5</v>
          </cell>
        </row>
        <row r="6">
          <cell r="B6"/>
          <cell r="C6"/>
          <cell r="D6"/>
          <cell r="E6"/>
          <cell r="F6"/>
          <cell r="G6"/>
          <cell r="H6"/>
          <cell r="I6"/>
        </row>
        <row r="7">
          <cell r="B7" t="str">
            <v>TNGHIA</v>
          </cell>
          <cell r="C7" t="str">
            <v>PSR</v>
          </cell>
          <cell r="D7" t="str">
            <v>BSL</v>
          </cell>
          <cell r="E7" t="str">
            <v>Dak Lak</v>
          </cell>
          <cell r="F7"/>
          <cell r="G7" t="str">
            <v>203-205 Lê Thánh Tông , P.Tân Lợi, Tp.Buôn Ma Thuột , Daklak</v>
          </cell>
          <cell r="H7" t="str">
            <v>0978494469</v>
          </cell>
          <cell r="I7" t="str">
            <v>1 x 5</v>
          </cell>
        </row>
        <row r="8">
          <cell r="B8" t="str">
            <v>TPHUNG</v>
          </cell>
          <cell r="C8" t="str">
            <v>PSR</v>
          </cell>
          <cell r="D8" t="str">
            <v>BSL</v>
          </cell>
          <cell r="E8" t="str">
            <v>Tay Ninh</v>
          </cell>
          <cell r="F8"/>
          <cell r="G8" t="str">
            <v>212 Phạm Hùng, ấp Long Thới, xã Long Thành Trung, huyện Hòa Thành, Tây Ninh</v>
          </cell>
          <cell r="H8" t="str">
            <v>0937257527</v>
          </cell>
          <cell r="I8" t="str">
            <v>1 x 5</v>
          </cell>
        </row>
        <row r="9">
          <cell r="B9" t="str">
            <v>XTUNG</v>
          </cell>
          <cell r="C9" t="str">
            <v>PSR</v>
          </cell>
          <cell r="D9" t="str">
            <v>BSL</v>
          </cell>
          <cell r="E9" t="str">
            <v>Ha Noi</v>
          </cell>
          <cell r="F9"/>
          <cell r="G9" t="str">
            <v>69A Hai Bà Trưng, P. Cửa Nam, Hoàn Kiếm, Hà Nội</v>
          </cell>
          <cell r="H9" t="str">
            <v>0906 161 685</v>
          </cell>
          <cell r="I9" t="str">
            <v>1,2 x 7,825</v>
          </cell>
        </row>
        <row r="10">
          <cell r="B10"/>
          <cell r="C10"/>
          <cell r="D10"/>
          <cell r="E10"/>
          <cell r="F10"/>
          <cell r="G10"/>
          <cell r="H10"/>
          <cell r="I10"/>
        </row>
        <row r="11">
          <cell r="B11" t="str">
            <v>BHIEN</v>
          </cell>
          <cell r="C11" t="str">
            <v>PSR</v>
          </cell>
          <cell r="D11" t="str">
            <v>BSL</v>
          </cell>
          <cell r="E11" t="str">
            <v>Da Nang</v>
          </cell>
          <cell r="F11"/>
          <cell r="G11" t="str">
            <v>252-254 Nguyễn Hữu Thọ Quận Hải Châu, Đà Nẵng.</v>
          </cell>
          <cell r="H11" t="str">
            <v>0903501603</v>
          </cell>
          <cell r="I11" t="str">
            <v>1 x 7.25</v>
          </cell>
        </row>
        <row r="12">
          <cell r="B12"/>
          <cell r="C12"/>
          <cell r="D12"/>
          <cell r="E12"/>
          <cell r="F12"/>
          <cell r="G12"/>
          <cell r="H12"/>
          <cell r="I12"/>
        </row>
        <row r="13">
          <cell r="B13" t="str">
            <v>DCHU</v>
          </cell>
          <cell r="C13" t="str">
            <v>PSR</v>
          </cell>
          <cell r="D13" t="str">
            <v>BSL</v>
          </cell>
          <cell r="E13" t="str">
            <v>Ha Noi</v>
          </cell>
          <cell r="F13"/>
          <cell r="G13" t="str">
            <v>Số 140 Trần Phú, Hà Đông, Hà Nội</v>
          </cell>
          <cell r="H13" t="str">
            <v>0983327066</v>
          </cell>
          <cell r="I13" t="str">
            <v>1 x 6</v>
          </cell>
        </row>
        <row r="14">
          <cell r="B14"/>
          <cell r="C14"/>
          <cell r="D14"/>
          <cell r="E14"/>
          <cell r="F14"/>
          <cell r="G14"/>
          <cell r="H14"/>
          <cell r="I14"/>
        </row>
        <row r="15">
          <cell r="B15" t="str">
            <v>OTO24</v>
          </cell>
          <cell r="C15" t="str">
            <v>PSR</v>
          </cell>
          <cell r="D15" t="str">
            <v>BSL</v>
          </cell>
          <cell r="E15" t="str">
            <v>Can Tho</v>
          </cell>
          <cell r="F15"/>
          <cell r="G15" t="str">
            <v>212 Nguyễn Văn Linh, P.Hưng Lợi, Q.Ninh Kiều, TP. Cần Thơ</v>
          </cell>
          <cell r="H15" t="str">
            <v>0968682424</v>
          </cell>
          <cell r="I15" t="str">
            <v>1 x 7.25</v>
          </cell>
        </row>
        <row r="16">
          <cell r="B16" t="str">
            <v>TLY</v>
          </cell>
          <cell r="C16" t="str">
            <v>PSR</v>
          </cell>
          <cell r="D16" t="str">
            <v>BSL</v>
          </cell>
          <cell r="E16" t="str">
            <v>Gia Lai</v>
          </cell>
          <cell r="F16"/>
          <cell r="G16" t="str">
            <v>79A Hùng Vương, phường Diên Hồng, TP Gia Lai.</v>
          </cell>
          <cell r="H16" t="str">
            <v>0903536556</v>
          </cell>
          <cell r="I16" t="str">
            <v>3 x 1</v>
          </cell>
        </row>
        <row r="17">
          <cell r="B17"/>
          <cell r="C17"/>
          <cell r="D17"/>
          <cell r="E17"/>
          <cell r="F17"/>
          <cell r="G17"/>
          <cell r="H17"/>
          <cell r="I17"/>
        </row>
        <row r="18">
          <cell r="B18" t="str">
            <v>TNKHUONG</v>
          </cell>
          <cell r="C18" t="str">
            <v>PSR</v>
          </cell>
          <cell r="D18" t="str">
            <v>BSL</v>
          </cell>
          <cell r="E18" t="str">
            <v>Dong Nai</v>
          </cell>
          <cell r="F18"/>
          <cell r="G18" t="str">
            <v>1103 Phạm Văn Thuận, Biên Hòa, Đồng Nai</v>
          </cell>
          <cell r="H18" t="str">
            <v>0919692923</v>
          </cell>
          <cell r="I18" t="str">
            <v>0.8 x 5</v>
          </cell>
        </row>
        <row r="19">
          <cell r="B19" t="str">
            <v>TPHUONG</v>
          </cell>
          <cell r="C19" t="str">
            <v>PSR</v>
          </cell>
          <cell r="D19" t="str">
            <v>BSL</v>
          </cell>
          <cell r="E19" t="str">
            <v>Ha Noi</v>
          </cell>
          <cell r="F19"/>
          <cell r="G19" t="str">
            <v>B1-2 phố Việt Hưng, P. Việt Hưng, Q. Long Biên, TP. Hà Nội</v>
          </cell>
          <cell r="H19" t="str">
            <v>0915 558 010</v>
          </cell>
          <cell r="I19" t="str">
            <v>1x 5</v>
          </cell>
        </row>
        <row r="20">
          <cell r="B20" t="str">
            <v>YPHONG</v>
          </cell>
          <cell r="C20" t="str">
            <v>PSR</v>
          </cell>
          <cell r="D20" t="str">
            <v>BSL</v>
          </cell>
          <cell r="E20" t="str">
            <v>Ho Chi Minh</v>
          </cell>
          <cell r="F20"/>
          <cell r="G20" t="str">
            <v>111/2, Khu phố 1, P. Thạnh Xuân, Q. 12, TP. HCM</v>
          </cell>
          <cell r="H20" t="str">
            <v>0909293103</v>
          </cell>
          <cell r="I20" t="str">
            <v>1 x 6.5</v>
          </cell>
        </row>
        <row r="21">
          <cell r="B21" t="str">
            <v>VLOITIRE</v>
          </cell>
          <cell r="C21" t="str">
            <v>PSR</v>
          </cell>
          <cell r="D21" t="str">
            <v>BSL</v>
          </cell>
          <cell r="E21" t="str">
            <v>Ho Chi Minh</v>
          </cell>
          <cell r="F21"/>
          <cell r="G21" t="str">
            <v>342-344A Lý Thái Tổ, Quận 10</v>
          </cell>
          <cell r="H21" t="str">
            <v>0903618013</v>
          </cell>
          <cell r="I21" t="str">
            <v>1 x 7.5</v>
          </cell>
        </row>
        <row r="22">
          <cell r="B22" t="str">
            <v>YPHONG</v>
          </cell>
          <cell r="C22" t="str">
            <v>PSR</v>
          </cell>
          <cell r="D22" t="str">
            <v>BSL</v>
          </cell>
          <cell r="E22" t="str">
            <v>Ho Chi Minh</v>
          </cell>
          <cell r="F22" t="str">
            <v>Thành Phát</v>
          </cell>
          <cell r="G22" t="str">
            <v>48 Lý Thái Tổ, Phường 1, Quận 3, TPHCM</v>
          </cell>
          <cell r="H22" t="str">
            <v>0909293103</v>
          </cell>
          <cell r="I22" t="str">
            <v>1 x 5</v>
          </cell>
        </row>
        <row r="23">
          <cell r="B23" t="str">
            <v>DTHAO</v>
          </cell>
          <cell r="C23" t="str">
            <v>PSR</v>
          </cell>
          <cell r="D23" t="str">
            <v>BSP</v>
          </cell>
          <cell r="E23" t="str">
            <v>Quang Tri</v>
          </cell>
          <cell r="F23"/>
          <cell r="G23" t="str">
            <v>324 Lê Duẩn, Đông Hà, Quảng Trị</v>
          </cell>
          <cell r="H23" t="str">
            <v>0901 165666</v>
          </cell>
          <cell r="I23" t="str">
            <v>1 x 7.25</v>
          </cell>
        </row>
        <row r="24">
          <cell r="B24" t="str">
            <v>HLINH</v>
          </cell>
          <cell r="C24" t="str">
            <v>PSR</v>
          </cell>
          <cell r="D24" t="str">
            <v>BSP</v>
          </cell>
          <cell r="E24" t="str">
            <v>An Giang</v>
          </cell>
          <cell r="F24"/>
          <cell r="G24" t="str">
            <v>666/6 Phạm Cự Lượng, khóm Tân Phú, P. Mỹ Quý, TP. Long Xuyên, An Giang</v>
          </cell>
          <cell r="H24" t="str">
            <v>0918212555</v>
          </cell>
          <cell r="I24" t="str">
            <v>1 x 5</v>
          </cell>
        </row>
        <row r="25">
          <cell r="B25" t="str">
            <v>HTAN</v>
          </cell>
          <cell r="C25" t="str">
            <v>PSR</v>
          </cell>
          <cell r="D25" t="str">
            <v>BSP</v>
          </cell>
          <cell r="E25" t="str">
            <v>Ba Ria-Vung Tau</v>
          </cell>
          <cell r="F25"/>
          <cell r="G25" t="str">
            <v>11 Huyền Trân Công Chúa, Phường 8, Tp.Vũng Tàu</v>
          </cell>
          <cell r="H25" t="str">
            <v>0902632834</v>
          </cell>
          <cell r="I25" t="str">
            <v>1 x 4</v>
          </cell>
        </row>
        <row r="26">
          <cell r="B26" t="str">
            <v>PHAI</v>
          </cell>
          <cell r="C26" t="str">
            <v>PSR</v>
          </cell>
          <cell r="D26" t="str">
            <v>BSP</v>
          </cell>
          <cell r="E26" t="str">
            <v>Ho Chi Minh</v>
          </cell>
          <cell r="F26"/>
          <cell r="G26" t="str">
            <v>344B Lý Thái Tổ, Phường 1, Quận 3, TP.HCM</v>
          </cell>
          <cell r="H26" t="str">
            <v>0943656063</v>
          </cell>
          <cell r="I26" t="str">
            <v>1 x 5</v>
          </cell>
        </row>
        <row r="27">
          <cell r="B27" t="str">
            <v>QVINH</v>
          </cell>
          <cell r="C27" t="str">
            <v>PSR</v>
          </cell>
          <cell r="D27" t="str">
            <v>BSP</v>
          </cell>
          <cell r="E27" t="str">
            <v>Thanh Hoa</v>
          </cell>
          <cell r="F27"/>
          <cell r="G27" t="str">
            <v>Số 685 Bà Triệu, Phường Trường Thi, Thành Phố Thanh Hóa</v>
          </cell>
          <cell r="H27" t="str">
            <v>0949 446 868</v>
          </cell>
          <cell r="I27" t="str">
            <v>1 x 5</v>
          </cell>
        </row>
        <row r="28">
          <cell r="B28" t="str">
            <v>AVNHAT</v>
          </cell>
          <cell r="C28" t="str">
            <v>PSR</v>
          </cell>
          <cell r="D28" t="str">
            <v>BSP</v>
          </cell>
          <cell r="E28" t="str">
            <v>Ha Noi</v>
          </cell>
          <cell r="F28"/>
          <cell r="G28" t="str">
            <v>52 Ngọc Hồi, P.Hoàng Liệt, Q. Hoàng Mai, Hà Nội</v>
          </cell>
          <cell r="H28" t="str">
            <v>0913 300 489</v>
          </cell>
          <cell r="I28" t="str">
            <v>1 x 5</v>
          </cell>
        </row>
        <row r="29">
          <cell r="B29" t="str">
            <v>GKHOA</v>
          </cell>
          <cell r="C29" t="str">
            <v>PSR</v>
          </cell>
          <cell r="D29" t="str">
            <v>BSP</v>
          </cell>
          <cell r="E29" t="str">
            <v>Ha Noi</v>
          </cell>
          <cell r="F29"/>
          <cell r="G29" t="str">
            <v>214 Trần Quang Khải, P. Chương Dương, Q. Hoàn Kiếm, Hà Nội</v>
          </cell>
          <cell r="H29" t="str">
            <v>094499992</v>
          </cell>
          <cell r="I29" t="str">
            <v>1 x 5</v>
          </cell>
        </row>
        <row r="30">
          <cell r="B30" t="str">
            <v>HHUNG</v>
          </cell>
          <cell r="C30" t="str">
            <v>PSR</v>
          </cell>
          <cell r="D30" t="str">
            <v>BSL</v>
          </cell>
          <cell r="E30" t="str">
            <v>Ha Noi</v>
          </cell>
          <cell r="F30"/>
          <cell r="G30" t="str">
            <v>52-64 Yên Phụ, P. Nguyễn Trung Trực, Hà Nội</v>
          </cell>
          <cell r="H30" t="str">
            <v>0947 889 399</v>
          </cell>
          <cell r="I30" t="str">
            <v>1 x 5</v>
          </cell>
        </row>
        <row r="31">
          <cell r="B31" t="str">
            <v>MDUNG</v>
          </cell>
          <cell r="C31" t="str">
            <v>PSR</v>
          </cell>
          <cell r="D31" t="str">
            <v>BSP</v>
          </cell>
          <cell r="E31" t="str">
            <v>Thai Nguyen</v>
          </cell>
          <cell r="F31"/>
          <cell r="G31" t="str">
            <v>448 Lương Ngọc Quyến, P. Đồng Quang, TP. Thái Nguyên</v>
          </cell>
          <cell r="H31" t="str">
            <v>0915494455</v>
          </cell>
          <cell r="I31" t="str">
            <v>1 x 5</v>
          </cell>
        </row>
        <row r="32">
          <cell r="B32" t="str">
            <v>THLONG</v>
          </cell>
          <cell r="C32" t="str">
            <v>PSR</v>
          </cell>
          <cell r="D32" t="str">
            <v>BSP</v>
          </cell>
          <cell r="E32" t="str">
            <v>Ho Chi Minh</v>
          </cell>
          <cell r="F32"/>
          <cell r="G32" t="str">
            <v>3/1 Đường 17 - Phạm Văn Đồng, phường Hiệp Bình Chánh, quận Thủ Đức, TPHCM</v>
          </cell>
          <cell r="H32" t="str">
            <v>0909 355283</v>
          </cell>
          <cell r="I32" t="str">
            <v>1 x 7.25</v>
          </cell>
        </row>
        <row r="33">
          <cell r="B33"/>
          <cell r="C33"/>
          <cell r="D33"/>
          <cell r="E33"/>
          <cell r="F33"/>
          <cell r="G33"/>
          <cell r="H33"/>
          <cell r="I33"/>
        </row>
        <row r="34">
          <cell r="B34"/>
          <cell r="C34"/>
          <cell r="D34"/>
          <cell r="E34"/>
          <cell r="F34"/>
          <cell r="G34"/>
          <cell r="H34"/>
          <cell r="I34"/>
        </row>
        <row r="35">
          <cell r="B35" t="str">
            <v>BestVN</v>
          </cell>
          <cell r="C35" t="str">
            <v>PSR</v>
          </cell>
          <cell r="D35" t="str">
            <v>BSP</v>
          </cell>
          <cell r="E35" t="str">
            <v>Bac Ninh</v>
          </cell>
          <cell r="F35"/>
          <cell r="G35" t="str">
            <v>Số nhà 42-44 Ngô Gia Tự, Phường Vũ Ninh, TP. Bắc Ninh, tỉnh Bắc Ninh</v>
          </cell>
          <cell r="H35" t="str">
            <v>0969796005</v>
          </cell>
          <cell r="I35" t="str">
            <v>1 x 5</v>
          </cell>
        </row>
        <row r="36">
          <cell r="B36" t="str">
            <v>PNHUNG</v>
          </cell>
          <cell r="C36" t="str">
            <v>PSR</v>
          </cell>
          <cell r="D36" t="str">
            <v>BSP</v>
          </cell>
          <cell r="E36" t="str">
            <v>Vinh Phuc</v>
          </cell>
          <cell r="F36"/>
          <cell r="G36" t="str">
            <v>Số 381, khu phố 1, đường Hùng Vương, phường Đồng Tâm, Thành phố Vĩnh Yên, tỉnh Vĩnh Phúc</v>
          </cell>
          <cell r="H36" t="str">
            <v>0913517354</v>
          </cell>
          <cell r="I36" t="str">
            <v>1 x 10</v>
          </cell>
        </row>
        <row r="37">
          <cell r="B37" t="str">
            <v>TTHANH</v>
          </cell>
          <cell r="C37" t="str">
            <v>PSR</v>
          </cell>
          <cell r="D37" t="str">
            <v>BSP</v>
          </cell>
          <cell r="E37" t="str">
            <v>Ha Nam</v>
          </cell>
          <cell r="F37"/>
          <cell r="G37" t="str">
            <v>Km5 – Quốc lộ 1A – phường Thanh Tuyền - Thành phố Phủ Lý – Tỉnh Hà Nam</v>
          </cell>
          <cell r="H37" t="str">
            <v>0914899456</v>
          </cell>
          <cell r="I37" t="str">
            <v>1x5m</v>
          </cell>
        </row>
        <row r="38">
          <cell r="B38" t="str">
            <v>NGOCLOP</v>
          </cell>
          <cell r="C38" t="str">
            <v>PSR</v>
          </cell>
          <cell r="D38" t="str">
            <v>BSP</v>
          </cell>
          <cell r="E38" t="str">
            <v>Dong Nai</v>
          </cell>
          <cell r="F38"/>
          <cell r="G38" t="str">
            <v>2052 quốc lộ 51, ấp Hương Phước, Phước Tân, TP. Biên Hòa, Đồng Nai</v>
          </cell>
          <cell r="H38" t="str">
            <v>0914962556</v>
          </cell>
          <cell r="I38" t="str">
            <v>1 x 6</v>
          </cell>
        </row>
        <row r="39">
          <cell r="B39" t="str">
            <v>BTHU</v>
          </cell>
          <cell r="C39" t="str">
            <v>PSR</v>
          </cell>
          <cell r="D39" t="str">
            <v>BSP</v>
          </cell>
          <cell r="E39" t="str">
            <v>Ha Noi</v>
          </cell>
          <cell r="F39"/>
          <cell r="G39" t="str">
            <v>tổ 22, đường vành đai 3, phường Yên Sở, quận Hoàng Mai, Hà Nội (đối diện Công viên Yên Sở)</v>
          </cell>
          <cell r="H39" t="str">
            <v>0948929860</v>
          </cell>
          <cell r="I39" t="str">
            <v>1 x 7</v>
          </cell>
        </row>
        <row r="40">
          <cell r="B40" t="str">
            <v>TPHUNG</v>
          </cell>
          <cell r="C40" t="str">
            <v>PSR</v>
          </cell>
          <cell r="D40" t="str">
            <v>BSP</v>
          </cell>
          <cell r="E40" t="str">
            <v>Tay Ninh</v>
          </cell>
          <cell r="F40"/>
          <cell r="G40" t="str">
            <v>635 Phạm Hùng,Long Bình,Long Thành Nam,Hòa Thành,Tỉnh Tây Ninh.</v>
          </cell>
          <cell r="H40" t="str">
            <v>0937257527</v>
          </cell>
          <cell r="I40" t="str">
            <v>1 x 5</v>
          </cell>
        </row>
        <row r="41">
          <cell r="B41" t="str">
            <v>XTUNG</v>
          </cell>
          <cell r="C41" t="str">
            <v>PSR</v>
          </cell>
          <cell r="D41" t="str">
            <v>BSP</v>
          </cell>
          <cell r="E41" t="str">
            <v>Ha Noi</v>
          </cell>
          <cell r="F41"/>
          <cell r="G41" t="str">
            <v>640, Lạc Long Quân, Phú Thượng, Tây Hồ, Hà Nội</v>
          </cell>
          <cell r="H41" t="str">
            <v>0906 161 685</v>
          </cell>
          <cell r="I41" t="str">
            <v>1,5x8</v>
          </cell>
        </row>
        <row r="42">
          <cell r="B42"/>
          <cell r="C42"/>
          <cell r="D42"/>
          <cell r="E42"/>
          <cell r="F42"/>
          <cell r="G42"/>
          <cell r="H42"/>
          <cell r="I42"/>
        </row>
        <row r="43">
          <cell r="B43" t="str">
            <v>TDUC</v>
          </cell>
          <cell r="C43" t="str">
            <v>PSR</v>
          </cell>
          <cell r="D43" t="str">
            <v>BSP</v>
          </cell>
          <cell r="E43" t="str">
            <v>Binh Phuoc</v>
          </cell>
          <cell r="F43"/>
          <cell r="G43" t="str">
            <v>219 Quốc lộ 14, Phường Tân Thiện, TX. Đồng Xoài, Tỉnh Bình Phước</v>
          </cell>
          <cell r="H43" t="str">
            <v>0944070707</v>
          </cell>
          <cell r="I43" t="str">
            <v>1 x 7.5</v>
          </cell>
        </row>
        <row r="44">
          <cell r="B44" t="str">
            <v>LMAN</v>
          </cell>
          <cell r="C44" t="str">
            <v>PSR</v>
          </cell>
          <cell r="D44" t="str">
            <v>BSP</v>
          </cell>
          <cell r="E44" t="str">
            <v>Hung Yen</v>
          </cell>
          <cell r="F44"/>
          <cell r="G44" t="str">
            <v>Đường Lê Văn Lương, xã Trung Nghĩa, TP. Hưng Yên</v>
          </cell>
          <cell r="H44" t="str">
            <v>0913311993</v>
          </cell>
          <cell r="I44" t="str">
            <v>1,5x7m</v>
          </cell>
        </row>
        <row r="45">
          <cell r="B45" t="str">
            <v>TLVINH</v>
          </cell>
          <cell r="C45" t="str">
            <v>PSR</v>
          </cell>
          <cell r="D45" t="str">
            <v>BSP</v>
          </cell>
          <cell r="E45" t="str">
            <v>Nghe An</v>
          </cell>
          <cell r="F45"/>
          <cell r="G45" t="str">
            <v>số 26 Nguyễn Văn Trỗi, P. Bến Thủy, Thành phố Vinh, Tỉnh Nghệ An.</v>
          </cell>
          <cell r="H45" t="str">
            <v>0912882886</v>
          </cell>
          <cell r="I45" t="str">
            <v>1 x 10</v>
          </cell>
        </row>
        <row r="46">
          <cell r="B46" t="str">
            <v>SMEM</v>
          </cell>
          <cell r="C46" t="str">
            <v>PSR</v>
          </cell>
          <cell r="D46" t="str">
            <v>BSL</v>
          </cell>
          <cell r="E46" t="str">
            <v>Khanh Hoa</v>
          </cell>
          <cell r="F46"/>
          <cell r="G46" t="str">
            <v>597-599 Lê Hồng Phong, thành phố Nha Trang, tỉnh Khánh Hòa</v>
          </cell>
          <cell r="H46" t="str">
            <v>(058)3821877</v>
          </cell>
          <cell r="I46" t="str">
            <v>1 x 5</v>
          </cell>
        </row>
        <row r="47">
          <cell r="B47" t="str">
            <v>STNGOC</v>
          </cell>
          <cell r="C47" t="str">
            <v>PSR</v>
          </cell>
          <cell r="D47" t="str">
            <v>BSP</v>
          </cell>
          <cell r="E47" t="str">
            <v>Dong Nai</v>
          </cell>
          <cell r="F47"/>
          <cell r="G47" t="str">
            <v>H1/010B, ấp Nam Sơn, Xã Quang Trung, Huyện Thống Nhất, Đồng Nai</v>
          </cell>
          <cell r="H47" t="str">
            <v>0909909072</v>
          </cell>
          <cell r="I47" t="str">
            <v>1 x 10</v>
          </cell>
        </row>
        <row r="48">
          <cell r="B48" t="str">
            <v>GKHOA</v>
          </cell>
          <cell r="C48" t="str">
            <v>PSR</v>
          </cell>
          <cell r="D48" t="str">
            <v>BSL</v>
          </cell>
          <cell r="E48" t="str">
            <v>Ha Noi</v>
          </cell>
          <cell r="F48" t="str">
            <v>Long Biên</v>
          </cell>
          <cell r="G48" t="str">
            <v>19B, số 3-5, đường Nguyễn Văn Linh (Quận Long Biên, Hà Nội)</v>
          </cell>
          <cell r="H48" t="str">
            <v>0918910090</v>
          </cell>
          <cell r="I48" t="str">
            <v>1 x 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5"/>
  <sheetViews>
    <sheetView zoomScale="40" zoomScaleNormal="40" workbookViewId="0">
      <selection activeCell="D16" sqref="D16"/>
    </sheetView>
  </sheetViews>
  <sheetFormatPr defaultRowHeight="15" x14ac:dyDescent="0.25"/>
  <cols>
    <col min="1" max="1" width="14.140625" style="2" bestFit="1" customWidth="1"/>
    <col min="2" max="2" width="21.28515625" bestFit="1" customWidth="1"/>
    <col min="3" max="3" width="29.28515625" style="1" bestFit="1" customWidth="1"/>
    <col min="4" max="4" width="101.28515625" style="1" customWidth="1"/>
    <col min="5" max="7" width="39" style="38" customWidth="1"/>
    <col min="8" max="8" width="14.28515625" style="1" hidden="1" customWidth="1"/>
    <col min="9" max="9" width="20.140625" style="27" bestFit="1" customWidth="1"/>
    <col min="10" max="10" width="24.28515625" style="27" bestFit="1" customWidth="1"/>
    <col min="11" max="11" width="38" style="27" hidden="1" customWidth="1"/>
    <col min="12" max="12" width="24" style="27" hidden="1" customWidth="1"/>
    <col min="13" max="13" width="14.42578125" style="27" hidden="1" customWidth="1"/>
    <col min="14" max="14" width="23.42578125" style="16" hidden="1" customWidth="1"/>
    <col min="15" max="15" width="22.140625" style="27" hidden="1" customWidth="1"/>
    <col min="16" max="18" width="22.140625" style="27" customWidth="1"/>
    <col min="19" max="19" width="30.5703125" style="27" bestFit="1" customWidth="1"/>
  </cols>
  <sheetData>
    <row r="1" spans="1:19" ht="64.5" customHeight="1" x14ac:dyDescent="0.25">
      <c r="A1" s="42" t="s">
        <v>129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64.5" customHeight="1" x14ac:dyDescent="0.25">
      <c r="A2" s="32"/>
      <c r="B2" s="33"/>
      <c r="C2" s="34"/>
      <c r="D2" s="34"/>
      <c r="E2" s="35"/>
      <c r="F2" s="35"/>
      <c r="G2" s="35"/>
      <c r="H2" s="33"/>
      <c r="I2" s="33"/>
      <c r="J2" s="33"/>
      <c r="K2" s="33"/>
      <c r="L2" s="33"/>
      <c r="M2" s="33"/>
      <c r="N2" s="33"/>
      <c r="O2" s="33"/>
      <c r="P2" s="44" t="s">
        <v>131</v>
      </c>
      <c r="Q2" s="44"/>
      <c r="R2" s="44"/>
      <c r="S2" s="33"/>
    </row>
    <row r="3" spans="1:19" s="2" customFormat="1" ht="93" x14ac:dyDescent="0.25">
      <c r="A3" s="4" t="s">
        <v>0</v>
      </c>
      <c r="B3" s="4" t="s">
        <v>1</v>
      </c>
      <c r="C3" s="5" t="s">
        <v>2</v>
      </c>
      <c r="D3" s="5" t="s">
        <v>152</v>
      </c>
      <c r="E3" s="4" t="s">
        <v>153</v>
      </c>
      <c r="F3" s="4" t="s">
        <v>154</v>
      </c>
      <c r="G3" s="4" t="s">
        <v>155</v>
      </c>
      <c r="H3" s="5" t="s">
        <v>3</v>
      </c>
      <c r="I3" s="5" t="s">
        <v>4</v>
      </c>
      <c r="J3" s="5" t="s">
        <v>5</v>
      </c>
      <c r="K3" s="5" t="s">
        <v>112</v>
      </c>
      <c r="L3" s="5" t="s">
        <v>115</v>
      </c>
      <c r="M3" s="5" t="s">
        <v>120</v>
      </c>
      <c r="N3" s="5" t="s">
        <v>130</v>
      </c>
      <c r="O3" s="5" t="s">
        <v>118</v>
      </c>
      <c r="P3" s="5" t="s">
        <v>132</v>
      </c>
      <c r="Q3" s="5" t="s">
        <v>134</v>
      </c>
      <c r="R3" s="5" t="s">
        <v>133</v>
      </c>
      <c r="S3" s="5" t="s">
        <v>135</v>
      </c>
    </row>
    <row r="4" spans="1:19" ht="69.75" x14ac:dyDescent="0.25">
      <c r="A4" s="6">
        <v>1</v>
      </c>
      <c r="B4" s="30" t="s">
        <v>6</v>
      </c>
      <c r="C4" s="18" t="s">
        <v>7</v>
      </c>
      <c r="D4" s="18" t="str">
        <f>VLOOKUP(B4,'[1]Total store list'!$B$1:$L$66,11,0)</f>
        <v>267 Lê Thánh Tông, phường Máy Chai, quận Ngô Quyền, thành phố Hải Phòng</v>
      </c>
      <c r="E4" s="30" t="str">
        <f>VLOOKUP(B4,'[1]Total store list'!$B$1:$F$66,5,0)</f>
        <v>Phạm Hữu Tiến</v>
      </c>
      <c r="F4" s="30" t="str">
        <f>VLOOKUP(E4,'[1]Total store list'!$F$1:$H$66,3,0)</f>
        <v>0913241701</v>
      </c>
      <c r="G4" s="30" t="str">
        <f>VLOOKUP(E4,'[1]Total store list'!$F$1:$I$66,4,0)</f>
        <v>(0225)3768888</v>
      </c>
      <c r="H4" s="18" t="s">
        <v>8</v>
      </c>
      <c r="I4" s="18" t="s">
        <v>9</v>
      </c>
      <c r="J4" s="18" t="s">
        <v>10</v>
      </c>
      <c r="K4" s="8" t="e">
        <f>VLOOKUP(B4,#REF!,15,0)</f>
        <v>#REF!</v>
      </c>
      <c r="L4" s="8">
        <v>100</v>
      </c>
      <c r="M4" s="18">
        <f>VLOOKUP(B4,[2]List!$B$2:$R$31,17,0)</f>
        <v>1</v>
      </c>
      <c r="N4" s="9">
        <f>(L4/2)*300000</f>
        <v>15000000</v>
      </c>
      <c r="O4" s="19">
        <f>IF(L4&gt;=150,30000000,0)</f>
        <v>0</v>
      </c>
      <c r="P4" s="36" t="s">
        <v>142</v>
      </c>
      <c r="Q4" s="19">
        <v>1</v>
      </c>
      <c r="R4" s="19">
        <v>1</v>
      </c>
      <c r="S4" s="18" t="s">
        <v>141</v>
      </c>
    </row>
    <row r="5" spans="1:19" ht="46.5" x14ac:dyDescent="0.25">
      <c r="A5" s="6">
        <v>2</v>
      </c>
      <c r="B5" s="30" t="s">
        <v>11</v>
      </c>
      <c r="C5" s="18" t="s">
        <v>12</v>
      </c>
      <c r="D5" s="18" t="str">
        <f>VLOOKUP(B5,'[1]Total store list'!$B$1:$L$66,11,0)</f>
        <v>391 Đại lộ Bình Dương, tổ 1, KP12, P. Chánh Nghĩa, TP. Thủ Dầu Một, tỉnh Bình Dương</v>
      </c>
      <c r="E5" s="30" t="str">
        <f>VLOOKUP(B5,'[1]Total store list'!$B$1:$F$66,5,0)</f>
        <v>Phùng Quốc Kỳ</v>
      </c>
      <c r="F5" s="30" t="str">
        <f>VLOOKUP(E5,'[1]Total store list'!$F$1:$H$66,3,0)</f>
        <v>0938573337</v>
      </c>
      <c r="G5" s="30" t="str">
        <f>VLOOKUP(E5,'[1]Total store list'!$F$1:$I$66,4,0)</f>
        <v>(0274)3 824 933</v>
      </c>
      <c r="H5" s="18" t="s">
        <v>8</v>
      </c>
      <c r="I5" s="18" t="s">
        <v>13</v>
      </c>
      <c r="J5" s="18" t="s">
        <v>14</v>
      </c>
      <c r="K5" s="8" t="e">
        <f>VLOOKUP(B5,#REF!,15,0)</f>
        <v>#REF!</v>
      </c>
      <c r="L5" s="8">
        <v>100</v>
      </c>
      <c r="M5" s="18">
        <f>VLOOKUP(B5,[2]List!$B$2:$R$31,17,0)</f>
        <v>1</v>
      </c>
      <c r="N5" s="9">
        <f t="shared" ref="N5:N46" si="0">(L5/2)*300000</f>
        <v>15000000</v>
      </c>
      <c r="O5" s="19">
        <f t="shared" ref="O5:O48" si="1">IF(L5&gt;=150,30000000,0)</f>
        <v>0</v>
      </c>
      <c r="P5" s="19" t="str">
        <f>VLOOKUP(B5,[3]Sheet1!$B$3:$I$48,8,0)</f>
        <v>1 x 5</v>
      </c>
      <c r="Q5" s="19">
        <v>1</v>
      </c>
      <c r="R5" s="19">
        <v>1</v>
      </c>
      <c r="S5" s="18"/>
    </row>
    <row r="6" spans="1:19" ht="46.5" x14ac:dyDescent="0.25">
      <c r="A6" s="6">
        <v>3</v>
      </c>
      <c r="B6" s="30" t="s">
        <v>15</v>
      </c>
      <c r="C6" s="18" t="s">
        <v>16</v>
      </c>
      <c r="D6" s="18" t="str">
        <f>VLOOKUP(B6,'[1]Total store list'!$B$1:$L$66,11,0)</f>
        <v>203-205 Lê Thánh Tông , P.Tân Lợi, Tp.Buôn Ma Thuột , Daklak</v>
      </c>
      <c r="E6" s="30" t="str">
        <f>VLOOKUP(B6,'[1]Total store list'!$B$1:$F$66,5,0)</f>
        <v>Trần Hoàng Lan</v>
      </c>
      <c r="F6" s="30" t="str">
        <f>VLOOKUP(E6,'[1]Total store list'!$F$1:$H$66,3,0)</f>
        <v>0913436968/ 097849469</v>
      </c>
      <c r="G6" s="30" t="str">
        <f>VLOOKUP(E6,'[1]Total store list'!$F$1:$I$66,4,0)</f>
        <v>(0262)3999939</v>
      </c>
      <c r="H6" s="18" t="s">
        <v>8</v>
      </c>
      <c r="I6" s="18" t="s">
        <v>13</v>
      </c>
      <c r="J6" s="18" t="s">
        <v>17</v>
      </c>
      <c r="K6" s="8" t="e">
        <f>VLOOKUP(B6,#REF!,15,0)</f>
        <v>#REF!</v>
      </c>
      <c r="L6" s="8">
        <v>100</v>
      </c>
      <c r="M6" s="18">
        <f>VLOOKUP(B6,[2]List!$B$2:$R$31,17,0)</f>
        <v>1</v>
      </c>
      <c r="N6" s="9">
        <f t="shared" si="0"/>
        <v>15000000</v>
      </c>
      <c r="O6" s="19">
        <f t="shared" si="1"/>
        <v>0</v>
      </c>
      <c r="P6" s="19" t="str">
        <f>VLOOKUP(B6,[3]Sheet1!$B$3:$I$48,8,0)</f>
        <v>1 x 5</v>
      </c>
      <c r="Q6" s="19">
        <v>1</v>
      </c>
      <c r="R6" s="19">
        <v>1</v>
      </c>
      <c r="S6" s="18"/>
    </row>
    <row r="7" spans="1:19" ht="46.5" x14ac:dyDescent="0.25">
      <c r="A7" s="6">
        <v>4</v>
      </c>
      <c r="B7" s="31" t="s">
        <v>18</v>
      </c>
      <c r="C7" s="18" t="s">
        <v>160</v>
      </c>
      <c r="D7" s="18" t="str">
        <f>VLOOKUP(B7,'[1]Total store list'!$B$1:$L$66,11,0)</f>
        <v>212 Phạm Hùng, ấp Long Thới, xã Long Thành Trung, huyện Hòa Thành, Tây Ninh</v>
      </c>
      <c r="E7" s="30" t="str">
        <f>VLOOKUP(B7,'[1]Total store list'!$B$1:$F$66,5,0)</f>
        <v>TRẦN THÁI PHÙNG</v>
      </c>
      <c r="F7" s="30" t="str">
        <f>VLOOKUP(E7,'[1]Total store list'!$F$1:$H$66,3,0)</f>
        <v>0913884341</v>
      </c>
      <c r="G7" s="30" t="str">
        <f>VLOOKUP(E7,'[1]Total store list'!$F$1:$I$66,4,0)</f>
        <v>0913884341</v>
      </c>
      <c r="H7" s="18" t="s">
        <v>8</v>
      </c>
      <c r="I7" s="18" t="s">
        <v>13</v>
      </c>
      <c r="J7" s="18" t="s">
        <v>19</v>
      </c>
      <c r="K7" s="8" t="e">
        <f>VLOOKUP(B7,#REF!,15,0)</f>
        <v>#REF!</v>
      </c>
      <c r="L7" s="8">
        <v>50</v>
      </c>
      <c r="M7" s="18">
        <f>VLOOKUP(B7,[2]List!$B$2:$R$31,17,0)</f>
        <v>1</v>
      </c>
      <c r="N7" s="9">
        <f t="shared" si="0"/>
        <v>7500000</v>
      </c>
      <c r="O7" s="19">
        <f t="shared" si="1"/>
        <v>0</v>
      </c>
      <c r="P7" s="19" t="str">
        <f>VLOOKUP(B7,[3]Sheet1!$B$3:$I$48,8,0)</f>
        <v>1 x 5</v>
      </c>
      <c r="Q7" s="19">
        <v>1</v>
      </c>
      <c r="R7" s="19">
        <v>1</v>
      </c>
      <c r="S7" s="18"/>
    </row>
    <row r="8" spans="1:19" ht="116.25" x14ac:dyDescent="0.25">
      <c r="A8" s="6">
        <v>5</v>
      </c>
      <c r="B8" s="31" t="s">
        <v>20</v>
      </c>
      <c r="C8" s="18" t="s">
        <v>161</v>
      </c>
      <c r="D8" s="18" t="str">
        <f>VLOOKUP(B8,'[1]Total store list'!$B$1:$L$66,11,0)</f>
        <v>640, Lạc Long Quân, Phú Thượng, Tây Hồ, Hà Nội</v>
      </c>
      <c r="E8" s="30" t="str">
        <f>VLOOKUP(B8,'[1]Total store list'!$B$1:$F$66,5,0)</f>
        <v xml:space="preserve">Lâm </v>
      </c>
      <c r="F8" s="30" t="str">
        <f>VLOOKUP(E8,'[1]Total store list'!$F$1:$H$66,3,0)</f>
        <v>0915573040</v>
      </c>
      <c r="G8" s="30" t="str">
        <f>VLOOKUP(E8,'[1]Total store list'!$F$1:$I$66,4,0)</f>
        <v>02439421491</v>
      </c>
      <c r="H8" s="18" t="s">
        <v>8</v>
      </c>
      <c r="I8" s="18" t="s">
        <v>9</v>
      </c>
      <c r="J8" s="18" t="s">
        <v>21</v>
      </c>
      <c r="K8" s="8" t="e">
        <f>VLOOKUP(B8,#REF!,15,0)</f>
        <v>#REF!</v>
      </c>
      <c r="L8" s="8">
        <v>150</v>
      </c>
      <c r="M8" s="18">
        <f>VLOOKUP(B8,[2]List!$B$2:$R$31,17,0)</f>
        <v>1</v>
      </c>
      <c r="N8" s="9">
        <f t="shared" si="0"/>
        <v>22500000</v>
      </c>
      <c r="O8" s="19">
        <f t="shared" si="1"/>
        <v>30000000</v>
      </c>
      <c r="P8" s="36" t="s">
        <v>143</v>
      </c>
      <c r="Q8" s="19">
        <v>1</v>
      </c>
      <c r="R8" s="19">
        <v>1</v>
      </c>
      <c r="S8" s="18" t="s">
        <v>144</v>
      </c>
    </row>
    <row r="9" spans="1:19" ht="23.25" x14ac:dyDescent="0.25">
      <c r="A9" s="6">
        <v>6</v>
      </c>
      <c r="B9" s="30" t="s">
        <v>22</v>
      </c>
      <c r="C9" s="18" t="s">
        <v>23</v>
      </c>
      <c r="D9" s="18" t="str">
        <f>VLOOKUP(B9,'[1]Total store list'!$B$1:$L$66,11,0)</f>
        <v>252-254 Nguyễn Hữu Thọ Quận Hải Châu, Đà Nẵng.</v>
      </c>
      <c r="E9" s="30" t="str">
        <f>VLOOKUP(B9,'[1]Total store list'!$B$1:$F$66,5,0)</f>
        <v>Ms. Phương</v>
      </c>
      <c r="F9" s="30" t="str">
        <f>VLOOKUP(E9,'[1]Total store list'!$F$1:$H$66,3,0)</f>
        <v>101 779 7397</v>
      </c>
      <c r="G9" s="30" t="str">
        <f>VLOOKUP(E9,'[1]Total store list'!$F$1:$I$66,4,0)</f>
        <v>(0236)3824292</v>
      </c>
      <c r="H9" s="18" t="s">
        <v>8</v>
      </c>
      <c r="I9" s="18" t="s">
        <v>24</v>
      </c>
      <c r="J9" s="18" t="s">
        <v>25</v>
      </c>
      <c r="K9" s="8" t="e">
        <f>VLOOKUP(B9,#REF!,15,0)</f>
        <v>#REF!</v>
      </c>
      <c r="L9" s="8">
        <v>150</v>
      </c>
      <c r="M9" s="18">
        <f>VLOOKUP(B9,[2]List!$B$2:$R$31,17,0)</f>
        <v>1</v>
      </c>
      <c r="N9" s="9">
        <f t="shared" si="0"/>
        <v>22500000</v>
      </c>
      <c r="O9" s="19">
        <f t="shared" si="1"/>
        <v>30000000</v>
      </c>
      <c r="P9" s="19" t="str">
        <f>VLOOKUP(B9,[3]Sheet1!$B$3:$I$48,8,0)</f>
        <v>1 x 7.25</v>
      </c>
      <c r="Q9" s="19">
        <v>1</v>
      </c>
      <c r="R9" s="19">
        <v>1</v>
      </c>
      <c r="S9" s="18"/>
    </row>
    <row r="10" spans="1:19" ht="23.25" x14ac:dyDescent="0.25">
      <c r="A10" s="6">
        <v>7</v>
      </c>
      <c r="B10" s="30" t="s">
        <v>26</v>
      </c>
      <c r="C10" s="18" t="s">
        <v>27</v>
      </c>
      <c r="D10" s="18" t="str">
        <f>VLOOKUP(B10,'[1]Total store list'!$B$1:$L$66,11,0)</f>
        <v>Số 140 Trần Phú, Hà Đông, Hà Nội</v>
      </c>
      <c r="E10" s="30" t="str">
        <f>VLOOKUP(B10,'[1]Total store list'!$B$1:$F$66,5,0)</f>
        <v>Bạch Minh Thúy</v>
      </c>
      <c r="F10" s="30" t="str">
        <f>VLOOKUP(E10,'[1]Total store list'!$F$1:$H$66,3,0)</f>
        <v>0966323030</v>
      </c>
      <c r="G10" s="30" t="str">
        <f>VLOOKUP(E10,'[1]Total store list'!$F$1:$I$66,4,0)</f>
        <v>0966323030</v>
      </c>
      <c r="H10" s="18" t="s">
        <v>8</v>
      </c>
      <c r="I10" s="18" t="s">
        <v>28</v>
      </c>
      <c r="J10" s="18" t="s">
        <v>21</v>
      </c>
      <c r="K10" s="8" t="e">
        <f>VLOOKUP(B10,#REF!,15,0)</f>
        <v>#REF!</v>
      </c>
      <c r="L10" s="8">
        <v>100</v>
      </c>
      <c r="M10" s="18">
        <f>VLOOKUP(B10,[2]List!$B$2:$R$31,17,0)</f>
        <v>1</v>
      </c>
      <c r="N10" s="9">
        <f t="shared" si="0"/>
        <v>15000000</v>
      </c>
      <c r="O10" s="19">
        <f t="shared" si="1"/>
        <v>0</v>
      </c>
      <c r="P10" s="19" t="str">
        <f>VLOOKUP(B10,[3]Sheet1!$B$3:$I$48,8,0)</f>
        <v>1 x 6</v>
      </c>
      <c r="Q10" s="19">
        <v>1</v>
      </c>
      <c r="R10" s="19">
        <v>1</v>
      </c>
      <c r="S10" s="18"/>
    </row>
    <row r="11" spans="1:19" ht="23.25" x14ac:dyDescent="0.25">
      <c r="A11" s="6">
        <v>8</v>
      </c>
      <c r="B11" s="30" t="s">
        <v>29</v>
      </c>
      <c r="C11" s="18" t="s">
        <v>30</v>
      </c>
      <c r="D11" s="18" t="str">
        <f>VLOOKUP(B11,'[1]Total store list'!$B$1:$L$66,11,0)</f>
        <v>212 Nguyễn Văn Linh, P.Hưng Lợi, Q.Ninh Kiều, TP. Cần Thơ</v>
      </c>
      <c r="E11" s="30" t="str">
        <f>VLOOKUP(B11,'[1]Total store list'!$B$1:$F$66,5,0)</f>
        <v>Lưu Khắc Bảng</v>
      </c>
      <c r="F11" s="30" t="str">
        <f>VLOOKUP(E11,'[1]Total store list'!$F$1:$H$66,3,0)</f>
        <v>0968682424</v>
      </c>
      <c r="G11" s="30" t="str">
        <f>VLOOKUP(E11,'[1]Total store list'!$F$1:$I$66,4,0)</f>
        <v>(0292)3781389</v>
      </c>
      <c r="H11" s="18" t="s">
        <v>8</v>
      </c>
      <c r="I11" s="18" t="s">
        <v>31</v>
      </c>
      <c r="J11" s="18" t="s">
        <v>32</v>
      </c>
      <c r="K11" s="8" t="e">
        <f>VLOOKUP(B11,#REF!,15,0)</f>
        <v>#REF!</v>
      </c>
      <c r="L11" s="8">
        <v>150</v>
      </c>
      <c r="M11" s="18">
        <f>VLOOKUP(B11,[2]List!$B$2:$R$31,17,0)</f>
        <v>1</v>
      </c>
      <c r="N11" s="9">
        <f t="shared" si="0"/>
        <v>22500000</v>
      </c>
      <c r="O11" s="19">
        <f t="shared" si="1"/>
        <v>30000000</v>
      </c>
      <c r="P11" s="19" t="str">
        <f>VLOOKUP(B11,[3]Sheet1!$B$3:$I$48,8,0)</f>
        <v>1 x 7.25</v>
      </c>
      <c r="Q11" s="19">
        <v>1</v>
      </c>
      <c r="R11" s="19">
        <v>1</v>
      </c>
      <c r="S11" s="18"/>
    </row>
    <row r="12" spans="1:19" ht="23.25" x14ac:dyDescent="0.25">
      <c r="A12" s="6">
        <v>9</v>
      </c>
      <c r="B12" s="30" t="s">
        <v>33</v>
      </c>
      <c r="C12" s="18" t="s">
        <v>34</v>
      </c>
      <c r="D12" s="18" t="str">
        <f>VLOOKUP(B12,'[1]Total store list'!$B$1:$L$66,11,0)</f>
        <v>64 Hùng Vương, thành phố Pleiku, tỉnh Gia Lai</v>
      </c>
      <c r="E12" s="30" t="str">
        <f>VLOOKUP(B12,'[1]Total store list'!$B$1:$F$66,5,0)</f>
        <v>Hồ Thị Lý</v>
      </c>
      <c r="F12" s="30" t="str">
        <f>VLOOKUP(E12,'[1]Total store list'!$F$1:$H$66,3,0)</f>
        <v>0903536556</v>
      </c>
      <c r="G12" s="30" t="str">
        <f>VLOOKUP(E12,'[1]Total store list'!$F$1:$I$66,4,0)</f>
        <v>(0269)3824097</v>
      </c>
      <c r="H12" s="18" t="s">
        <v>8</v>
      </c>
      <c r="I12" s="18" t="s">
        <v>13</v>
      </c>
      <c r="J12" s="18" t="s">
        <v>35</v>
      </c>
      <c r="K12" s="8" t="e">
        <f>VLOOKUP(B12,#REF!,15,0)</f>
        <v>#REF!</v>
      </c>
      <c r="L12" s="8">
        <v>100</v>
      </c>
      <c r="M12" s="18">
        <f>VLOOKUP(B12,[2]List!$B$2:$R$31,17,0)</f>
        <v>1</v>
      </c>
      <c r="N12" s="9">
        <f t="shared" si="0"/>
        <v>15000000</v>
      </c>
      <c r="O12" s="19">
        <f t="shared" si="1"/>
        <v>0</v>
      </c>
      <c r="P12" s="19" t="str">
        <f>VLOOKUP(B12,[3]Sheet1!$B$3:$I$48,8,0)</f>
        <v>3 x 1</v>
      </c>
      <c r="Q12" s="19">
        <v>1</v>
      </c>
      <c r="R12" s="19">
        <v>1</v>
      </c>
      <c r="S12" s="18" t="s">
        <v>136</v>
      </c>
    </row>
    <row r="13" spans="1:19" ht="23.25" x14ac:dyDescent="0.25">
      <c r="A13" s="6">
        <v>10</v>
      </c>
      <c r="B13" s="30" t="s">
        <v>36</v>
      </c>
      <c r="C13" s="18" t="s">
        <v>37</v>
      </c>
      <c r="D13" s="18" t="str">
        <f>VLOOKUP(B13,'[1]Total store list'!$B$1:$L$66,11,0)</f>
        <v>1103 Phạm Văn Thuận, Biên Hòa, Đồng Nai</v>
      </c>
      <c r="E13" s="30" t="str">
        <f>VLOOKUP(B13,'[1]Total store list'!$B$1:$F$66,5,0)</f>
        <v>chị Mỹ</v>
      </c>
      <c r="F13" s="30" t="str">
        <f>VLOOKUP(E13,'[1]Total store list'!$F$1:$H$66,3,0)</f>
        <v>0919692923</v>
      </c>
      <c r="G13" s="30" t="str">
        <f>VLOOKUP(E13,'[1]Total store list'!$F$1:$I$66,4,0)</f>
        <v>(0251)3284075</v>
      </c>
      <c r="H13" s="18" t="s">
        <v>8</v>
      </c>
      <c r="I13" s="18" t="s">
        <v>38</v>
      </c>
      <c r="J13" s="18" t="s">
        <v>39</v>
      </c>
      <c r="K13" s="8" t="e">
        <f>VLOOKUP(B13,#REF!,15,0)</f>
        <v>#REF!</v>
      </c>
      <c r="L13" s="8">
        <v>100</v>
      </c>
      <c r="M13" s="18">
        <f>VLOOKUP(B13,[2]List!$B$2:$R$31,17,0)</f>
        <v>1</v>
      </c>
      <c r="N13" s="9">
        <f t="shared" si="0"/>
        <v>15000000</v>
      </c>
      <c r="O13" s="19">
        <f t="shared" si="1"/>
        <v>0</v>
      </c>
      <c r="P13" s="19" t="str">
        <f>VLOOKUP(B13,[3]Sheet1!$B$3:$I$48,8,0)</f>
        <v>0.8 x 5</v>
      </c>
      <c r="Q13" s="19">
        <v>1</v>
      </c>
      <c r="R13" s="19">
        <v>1</v>
      </c>
      <c r="S13" s="18"/>
    </row>
    <row r="14" spans="1:19" ht="23.25" x14ac:dyDescent="0.25">
      <c r="A14" s="6">
        <v>11</v>
      </c>
      <c r="B14" s="30" t="s">
        <v>40</v>
      </c>
      <c r="C14" s="18" t="s">
        <v>41</v>
      </c>
      <c r="D14" s="18" t="str">
        <f>VLOOKUP(B14,'[1]Total store list'!$B$1:$L$66,11,0)</f>
        <v>B1-2 phố Việt Hưng, P. Việt Hưng, Q. Long Biên, TP. Hà Nội</v>
      </c>
      <c r="E14" s="30" t="str">
        <f>VLOOKUP(B14,'[1]Total store list'!$B$1:$F$66,5,0)</f>
        <v>chị Phương</v>
      </c>
      <c r="F14" s="30" t="str">
        <f>VLOOKUP(E14,'[1]Total store list'!$F$1:$H$66,3,0)</f>
        <v>0915586010</v>
      </c>
      <c r="G14" s="30" t="str">
        <f>VLOOKUP(E14,'[1]Total store list'!$F$1:$I$66,4,0)</f>
        <v>(04)38274326</v>
      </c>
      <c r="H14" s="18" t="s">
        <v>8</v>
      </c>
      <c r="I14" s="18" t="s">
        <v>9</v>
      </c>
      <c r="J14" s="18" t="s">
        <v>21</v>
      </c>
      <c r="K14" s="8" t="e">
        <f>VLOOKUP(B14,#REF!,15,0)</f>
        <v>#REF!</v>
      </c>
      <c r="L14" s="8">
        <v>150</v>
      </c>
      <c r="M14" s="18">
        <f>VLOOKUP(B14,[2]List!$B$2:$R$31,17,0)</f>
        <v>1</v>
      </c>
      <c r="N14" s="9">
        <f t="shared" si="0"/>
        <v>22500000</v>
      </c>
      <c r="O14" s="19">
        <f t="shared" si="1"/>
        <v>30000000</v>
      </c>
      <c r="P14" s="19" t="str">
        <f>VLOOKUP(B14,[3]Sheet1!$B$3:$I$48,8,0)</f>
        <v>1x 5</v>
      </c>
      <c r="Q14" s="19">
        <v>1</v>
      </c>
      <c r="R14" s="19">
        <v>1</v>
      </c>
      <c r="S14" s="18"/>
    </row>
    <row r="15" spans="1:19" ht="46.5" x14ac:dyDescent="0.25">
      <c r="A15" s="6">
        <v>12</v>
      </c>
      <c r="B15" s="31" t="s">
        <v>42</v>
      </c>
      <c r="C15" s="18" t="s">
        <v>162</v>
      </c>
      <c r="D15" s="18" t="s">
        <v>164</v>
      </c>
      <c r="E15" s="30" t="str">
        <f>VLOOKUP(B15,'[1]Total store list'!$B$1:$F$66,5,0)</f>
        <v>Nguyễn Bảo Phong</v>
      </c>
      <c r="F15" s="30" t="str">
        <f>VLOOKUP(E15,'[1]Total store list'!$F$1:$H$66,3,0)</f>
        <v>0904545472</v>
      </c>
      <c r="G15" s="30" t="str">
        <f>VLOOKUP(E15,'[1]Total store list'!$F$1:$I$66,4,0)</f>
        <v>(028)37168775</v>
      </c>
      <c r="H15" s="18" t="s">
        <v>8</v>
      </c>
      <c r="I15" s="18" t="s">
        <v>38</v>
      </c>
      <c r="J15" s="18" t="s">
        <v>43</v>
      </c>
      <c r="K15" s="8" t="e">
        <f>VLOOKUP(B15,#REF!,15,0)</f>
        <v>#REF!</v>
      </c>
      <c r="L15" s="8">
        <v>200</v>
      </c>
      <c r="M15" s="18">
        <f>VLOOKUP(B15,[2]List!$B$2:$R$31,17,0)</f>
        <v>1</v>
      </c>
      <c r="N15" s="9">
        <f t="shared" si="0"/>
        <v>30000000</v>
      </c>
      <c r="O15" s="19">
        <f t="shared" si="1"/>
        <v>30000000</v>
      </c>
      <c r="P15" s="19" t="str">
        <f>VLOOKUP(B15,[3]Sheet1!$B$3:$I$48,8,0)</f>
        <v>1 x 6.5</v>
      </c>
      <c r="Q15" s="19">
        <v>1</v>
      </c>
      <c r="R15" s="19">
        <v>1</v>
      </c>
      <c r="S15" s="18"/>
    </row>
    <row r="16" spans="1:19" ht="93" x14ac:dyDescent="0.25">
      <c r="A16" s="6">
        <v>13</v>
      </c>
      <c r="B16" s="30" t="s">
        <v>44</v>
      </c>
      <c r="C16" s="18" t="s">
        <v>45</v>
      </c>
      <c r="D16" s="18" t="str">
        <f>VLOOKUP(B16,'[1]Total store list'!$B$1:$L$66,11,0)</f>
        <v>342-344A Lý Thái Tổ, P1, Q3, TPHCM</v>
      </c>
      <c r="E16" s="30" t="str">
        <f>VLOOKUP(B16,'[1]Total store list'!$B$1:$F$66,5,0)</f>
        <v>NGUYỄN ĐỨC</v>
      </c>
      <c r="F16" s="30" t="str">
        <f>VLOOKUP(E16,'[1]Total store list'!$F$1:$H$66,3,0)</f>
        <v xml:space="preserve"> 0903 618 013</v>
      </c>
      <c r="G16" s="30" t="str">
        <f>VLOOKUP(E16,'[1]Total store list'!$F$1:$I$66,4,0)</f>
        <v>(028)38393110</v>
      </c>
      <c r="H16" s="18" t="s">
        <v>8</v>
      </c>
      <c r="I16" s="18" t="s">
        <v>13</v>
      </c>
      <c r="J16" s="18" t="s">
        <v>43</v>
      </c>
      <c r="K16" s="8" t="e">
        <f>VLOOKUP(B16,#REF!,15,0)</f>
        <v>#REF!</v>
      </c>
      <c r="L16" s="8">
        <v>200</v>
      </c>
      <c r="M16" s="18">
        <f>VLOOKUP(B16,[2]List!$B$2:$R$31,17,0)</f>
        <v>1</v>
      </c>
      <c r="N16" s="9">
        <f t="shared" si="0"/>
        <v>30000000</v>
      </c>
      <c r="O16" s="19">
        <f t="shared" si="1"/>
        <v>30000000</v>
      </c>
      <c r="P16" s="36" t="s">
        <v>137</v>
      </c>
      <c r="Q16" s="19">
        <v>1</v>
      </c>
      <c r="R16" s="19">
        <v>1</v>
      </c>
      <c r="S16" s="18" t="s">
        <v>138</v>
      </c>
    </row>
    <row r="17" spans="1:19" ht="46.5" x14ac:dyDescent="0.25">
      <c r="A17" s="6">
        <v>14</v>
      </c>
      <c r="B17" s="30" t="s">
        <v>46</v>
      </c>
      <c r="C17" s="18" t="s">
        <v>47</v>
      </c>
      <c r="D17" s="18" t="str">
        <f>VLOOKUP(B17,'[1]Total store list'!$B$1:$L$66,11,0)</f>
        <v>597-599 Lê Hồng Phong, thành phố Nha Trang, tỉnh Khánh Hòa</v>
      </c>
      <c r="E17" s="30" t="str">
        <f>VLOOKUP(B17,'[1]Total store list'!$B$1:$F$66,5,0)</f>
        <v>Lương Bá Hoành</v>
      </c>
      <c r="F17" s="30" t="str">
        <f>VLOOKUP(E17,'[1]Total store list'!$F$1:$H$66,3,0)</f>
        <v>0913 460 639</v>
      </c>
      <c r="G17" s="30" t="str">
        <f>VLOOKUP(E17,'[1]Total store list'!$F$1:$I$66,4,0)</f>
        <v>(0258)3821877</v>
      </c>
      <c r="H17" s="18" t="s">
        <v>8</v>
      </c>
      <c r="I17" s="18" t="s">
        <v>48</v>
      </c>
      <c r="J17" s="18" t="s">
        <v>49</v>
      </c>
      <c r="K17" s="8" t="e">
        <f>VLOOKUP(B17,#REF!,15,0)</f>
        <v>#REF!</v>
      </c>
      <c r="L17" s="8">
        <v>30</v>
      </c>
      <c r="M17" s="18">
        <v>1</v>
      </c>
      <c r="N17" s="9">
        <f t="shared" si="0"/>
        <v>4500000</v>
      </c>
      <c r="O17" s="19">
        <f t="shared" si="1"/>
        <v>0</v>
      </c>
      <c r="P17" s="19" t="str">
        <f>VLOOKUP(B17,[3]Sheet1!$B$3:$I$48,8,0)</f>
        <v>1 x 5</v>
      </c>
      <c r="Q17" s="19">
        <v>1</v>
      </c>
      <c r="R17" s="19">
        <v>1</v>
      </c>
      <c r="S17" s="18"/>
    </row>
    <row r="18" spans="1:19" ht="46.5" x14ac:dyDescent="0.25">
      <c r="A18" s="6">
        <v>15</v>
      </c>
      <c r="B18" s="31" t="s">
        <v>42</v>
      </c>
      <c r="C18" s="18" t="s">
        <v>163</v>
      </c>
      <c r="D18" s="18" t="str">
        <f>VLOOKUP(B18,'[1]Total store list'!$B$1:$L$66,11,0)</f>
        <v>111/2, Khu phố 1, P. Thạnh Xuân, Q. 12, TP. HCM</v>
      </c>
      <c r="E18" s="30" t="s">
        <v>170</v>
      </c>
      <c r="F18" s="30" t="str">
        <f>VLOOKUP(E18,'[1]Total store list'!$F$1:$H$66,3,0)</f>
        <v>0904545472</v>
      </c>
      <c r="G18" s="30" t="str">
        <f>VLOOKUP(E18,'[1]Total store list'!$F$1:$I$66,4,0)</f>
        <v>0904545472</v>
      </c>
      <c r="H18" s="18" t="s">
        <v>8</v>
      </c>
      <c r="I18" s="18" t="s">
        <v>38</v>
      </c>
      <c r="J18" s="18" t="s">
        <v>43</v>
      </c>
      <c r="K18" s="8" t="s">
        <v>114</v>
      </c>
      <c r="L18" s="8"/>
      <c r="M18" s="18">
        <f>VLOOKUP(B18,[2]List!$B$2:$R$31,17,0)</f>
        <v>1</v>
      </c>
      <c r="N18" s="9">
        <f t="shared" si="0"/>
        <v>0</v>
      </c>
      <c r="O18" s="19">
        <f t="shared" si="1"/>
        <v>0</v>
      </c>
      <c r="P18" s="19" t="str">
        <f>VLOOKUP(B18,[3]Sheet1!$B$3:$I$48,8,0)</f>
        <v>1 x 6.5</v>
      </c>
      <c r="Q18" s="19">
        <v>1</v>
      </c>
      <c r="R18" s="19">
        <v>1</v>
      </c>
      <c r="S18" s="18"/>
    </row>
    <row r="19" spans="1:19" ht="23.25" x14ac:dyDescent="0.25">
      <c r="A19" s="6">
        <v>16</v>
      </c>
      <c r="B19" s="30" t="s">
        <v>50</v>
      </c>
      <c r="C19" s="18" t="s">
        <v>51</v>
      </c>
      <c r="D19" s="18" t="str">
        <f>VLOOKUP(B19,'[1]Total store list'!$B$1:$L$66,11,0)</f>
        <v>375 Lê Duẩn, P. Đông Lễ, TP. Đông Hà, Tỉnh Quảng Trị</v>
      </c>
      <c r="E19" s="30" t="str">
        <f>VLOOKUP(B19,'[1]Total store list'!$B$1:$F$66,5,0)</f>
        <v>Trần Phan Thanh Nhàn</v>
      </c>
      <c r="F19" s="30" t="str">
        <f>VLOOKUP(E19,'[1]Total store list'!$F$1:$H$66,3,0)</f>
        <v>0901165666</v>
      </c>
      <c r="G19" s="30" t="str">
        <f>VLOOKUP(E19,'[1]Total store list'!$F$1:$I$66,4,0)</f>
        <v>0901165666</v>
      </c>
      <c r="H19" s="18" t="s">
        <v>52</v>
      </c>
      <c r="I19" s="18" t="s">
        <v>24</v>
      </c>
      <c r="J19" s="18" t="s">
        <v>53</v>
      </c>
      <c r="K19" s="8" t="e">
        <f>VLOOKUP(B19,#REF!,15,0)</f>
        <v>#REF!</v>
      </c>
      <c r="L19" s="8">
        <v>30</v>
      </c>
      <c r="M19" s="18">
        <f>VLOOKUP(B19,[2]List!$B$2:$R$31,17,0)</f>
        <v>1</v>
      </c>
      <c r="N19" s="9">
        <f t="shared" si="0"/>
        <v>4500000</v>
      </c>
      <c r="O19" s="19">
        <f t="shared" si="1"/>
        <v>0</v>
      </c>
      <c r="P19" s="19" t="str">
        <f>VLOOKUP(B19,[3]Sheet1!$B$3:$I$48,8,0)</f>
        <v>1 x 7.25</v>
      </c>
      <c r="Q19" s="19">
        <v>1</v>
      </c>
      <c r="R19" s="19">
        <v>1</v>
      </c>
      <c r="S19" s="18"/>
    </row>
    <row r="20" spans="1:19" ht="46.5" x14ac:dyDescent="0.25">
      <c r="A20" s="6">
        <v>17</v>
      </c>
      <c r="B20" s="30" t="s">
        <v>54</v>
      </c>
      <c r="C20" s="18" t="s">
        <v>55</v>
      </c>
      <c r="D20" s="18" t="str">
        <f>VLOOKUP(B20,'[1]Total store list'!$B$1:$L$66,11,0)</f>
        <v>666/6 Phạm Cự Lượng, khóm Tân Phú, P. Mỹ Quý, TP. Long Xuyên, An Giang</v>
      </c>
      <c r="E20" s="30" t="str">
        <f>VLOOKUP(B20,'[1]Total store list'!$B$1:$F$66,5,0)</f>
        <v>NGUYỄN HOÀNG GIANG</v>
      </c>
      <c r="F20" s="30" t="str">
        <f>VLOOKUP(E20,'[1]Total store list'!$F$1:$H$66,3,0)</f>
        <v>0918212555</v>
      </c>
      <c r="G20" s="30" t="str">
        <f>VLOOKUP(E20,'[1]Total store list'!$F$1:$I$66,4,0)</f>
        <v>(0296)3930999</v>
      </c>
      <c r="H20" s="18" t="s">
        <v>52</v>
      </c>
      <c r="I20" s="18" t="s">
        <v>31</v>
      </c>
      <c r="J20" s="18" t="s">
        <v>56</v>
      </c>
      <c r="K20" s="8" t="e">
        <f>VLOOKUP(B20,#REF!,15,0)</f>
        <v>#REF!</v>
      </c>
      <c r="L20" s="8">
        <v>100</v>
      </c>
      <c r="M20" s="18">
        <f>VLOOKUP(B20,[2]List!$B$2:$R$31,17,0)</f>
        <v>1</v>
      </c>
      <c r="N20" s="9">
        <f t="shared" si="0"/>
        <v>15000000</v>
      </c>
      <c r="O20" s="19">
        <f t="shared" si="1"/>
        <v>0</v>
      </c>
      <c r="P20" s="19" t="str">
        <f>VLOOKUP(B20,[3]Sheet1!$B$3:$I$48,8,0)</f>
        <v>1 x 5</v>
      </c>
      <c r="Q20" s="19">
        <v>1</v>
      </c>
      <c r="R20" s="19">
        <v>1</v>
      </c>
      <c r="S20" s="18"/>
    </row>
    <row r="21" spans="1:19" ht="46.5" x14ac:dyDescent="0.25">
      <c r="A21" s="6">
        <v>18</v>
      </c>
      <c r="B21" s="30" t="s">
        <v>57</v>
      </c>
      <c r="C21" s="18" t="s">
        <v>58</v>
      </c>
      <c r="D21" s="18" t="str">
        <f>VLOOKUP(B21,'[1]Total store list'!$B$1:$L$66,11,0)</f>
        <v>340 , Lê Hồng Phong , Phường 3 , TP Vũng Tàu</v>
      </c>
      <c r="E21" s="30" t="str">
        <f>VLOOKUP(B21,'[1]Total store list'!$B$1:$F$66,5,0)</f>
        <v>ĐOÀN THỊ THANH THÚY</v>
      </c>
      <c r="F21" s="30" t="str">
        <f>VLOOKUP(E21,'[1]Total store list'!$F$1:$H$66,3,0)</f>
        <v>0902632834</v>
      </c>
      <c r="G21" s="30" t="str">
        <f>VLOOKUP(E21,'[1]Total store list'!$F$1:$I$66,4,0)</f>
        <v>(0254)3584968/ (0254)3584969</v>
      </c>
      <c r="H21" s="18" t="s">
        <v>52</v>
      </c>
      <c r="I21" s="18" t="s">
        <v>38</v>
      </c>
      <c r="J21" s="18" t="s">
        <v>59</v>
      </c>
      <c r="K21" s="8" t="e">
        <f>VLOOKUP(B21,#REF!,15,0)</f>
        <v>#REF!</v>
      </c>
      <c r="L21" s="8">
        <v>50</v>
      </c>
      <c r="M21" s="18">
        <f>VLOOKUP(B21,[2]List!$B$2:$R$31,17,0)</f>
        <v>0</v>
      </c>
      <c r="N21" s="9">
        <f t="shared" si="0"/>
        <v>7500000</v>
      </c>
      <c r="O21" s="19">
        <f t="shared" si="1"/>
        <v>0</v>
      </c>
      <c r="P21" s="19" t="str">
        <f>VLOOKUP(B21,[3]Sheet1!$B$3:$I$48,8,0)</f>
        <v>1 x 4</v>
      </c>
      <c r="Q21" s="19">
        <v>1</v>
      </c>
      <c r="R21" s="19">
        <v>1</v>
      </c>
      <c r="S21" s="18"/>
    </row>
    <row r="22" spans="1:19" ht="23.25" x14ac:dyDescent="0.25">
      <c r="A22" s="6">
        <v>19</v>
      </c>
      <c r="B22" s="30" t="s">
        <v>60</v>
      </c>
      <c r="C22" s="18" t="s">
        <v>61</v>
      </c>
      <c r="D22" s="18" t="str">
        <f>VLOOKUP(B22,'[1]Total store list'!$B$1:$L$66,11,0)</f>
        <v>344B Lý Thái Tổ, Phường 1, Quận 3, TP.HCM</v>
      </c>
      <c r="E22" s="30" t="str">
        <f>VLOOKUP(B22,'[1]Total store list'!$B$1:$F$66,5,0)</f>
        <v>Nguyễn Thị Vững</v>
      </c>
      <c r="F22" s="30" t="str">
        <f>VLOOKUP(E22,'[1]Total store list'!$F$1:$H$66,3,0)</f>
        <v>0917675676</v>
      </c>
      <c r="G22" s="30" t="str">
        <f>VLOOKUP(E22,'[1]Total store list'!$F$1:$I$66,4,0)</f>
        <v>02838355678</v>
      </c>
      <c r="H22" s="18" t="s">
        <v>52</v>
      </c>
      <c r="I22" s="18" t="s">
        <v>48</v>
      </c>
      <c r="J22" s="18" t="s">
        <v>43</v>
      </c>
      <c r="K22" s="8" t="e">
        <f>VLOOKUP(B22,#REF!,15,0)</f>
        <v>#REF!</v>
      </c>
      <c r="L22" s="8">
        <v>150</v>
      </c>
      <c r="M22" s="18">
        <f>VLOOKUP(B22,[2]List!$B$2:$R$31,17,0)</f>
        <v>0</v>
      </c>
      <c r="N22" s="9">
        <f t="shared" si="0"/>
        <v>22500000</v>
      </c>
      <c r="O22" s="19">
        <f t="shared" si="1"/>
        <v>30000000</v>
      </c>
      <c r="P22" s="19" t="str">
        <f>VLOOKUP(B22,[3]Sheet1!$B$3:$I$48,8,0)</f>
        <v>1 x 5</v>
      </c>
      <c r="Q22" s="19">
        <v>1</v>
      </c>
      <c r="R22" s="19">
        <v>1</v>
      </c>
      <c r="S22" s="18"/>
    </row>
    <row r="23" spans="1:19" ht="23.25" x14ac:dyDescent="0.25">
      <c r="A23" s="6">
        <v>20</v>
      </c>
      <c r="B23" s="30" t="s">
        <v>62</v>
      </c>
      <c r="C23" s="18" t="s">
        <v>63</v>
      </c>
      <c r="D23" s="18" t="str">
        <f>VLOOKUP(B23,'[1]Total store list'!$B$1:$L$66,11,0)</f>
        <v>691 Bà Triệu, Phường Trường Thi, Thành Phố Thanh Hóa</v>
      </c>
      <c r="E23" s="30" t="str">
        <f>VLOOKUP(B23,'[1]Total store list'!$B$1:$F$66,5,0)</f>
        <v>Nguyễn Đăng Hiếu</v>
      </c>
      <c r="F23" s="30" t="str">
        <f>VLOOKUP(E23,'[1]Total store list'!$F$1:$H$66,3,0)</f>
        <v>0944 446 868</v>
      </c>
      <c r="G23" s="30" t="str">
        <f>VLOOKUP(E23,'[1]Total store list'!$F$1:$I$66,4,0)</f>
        <v>(0237)3855929</v>
      </c>
      <c r="H23" s="18" t="s">
        <v>52</v>
      </c>
      <c r="I23" s="18" t="s">
        <v>64</v>
      </c>
      <c r="J23" s="18" t="s">
        <v>65</v>
      </c>
      <c r="K23" s="8" t="e">
        <f>VLOOKUP(B23,#REF!,15,0)</f>
        <v>#REF!</v>
      </c>
      <c r="L23" s="8">
        <v>50</v>
      </c>
      <c r="M23" s="18">
        <f>VLOOKUP(B23,[2]List!$B$2:$R$31,17,0)</f>
        <v>1</v>
      </c>
      <c r="N23" s="9">
        <f t="shared" si="0"/>
        <v>7500000</v>
      </c>
      <c r="O23" s="19">
        <f t="shared" si="1"/>
        <v>0</v>
      </c>
      <c r="P23" s="19" t="str">
        <f>VLOOKUP(B23,[3]Sheet1!$B$3:$I$48,8,0)</f>
        <v>1 x 5</v>
      </c>
      <c r="Q23" s="19">
        <v>1</v>
      </c>
      <c r="R23" s="19">
        <v>1</v>
      </c>
      <c r="S23" s="18"/>
    </row>
    <row r="24" spans="1:19" ht="23.25" x14ac:dyDescent="0.25">
      <c r="A24" s="6">
        <v>21</v>
      </c>
      <c r="B24" s="30" t="s">
        <v>66</v>
      </c>
      <c r="C24" s="18" t="s">
        <v>67</v>
      </c>
      <c r="D24" s="18" t="str">
        <f>VLOOKUP(B24,'[1]Total store list'!$B$1:$L$66,11,0)</f>
        <v>51 Ngọc Hồi, P.Hoàng Liệt, Q. Hoàng Mai, Hà Nội</v>
      </c>
      <c r="E24" s="30" t="str">
        <f>VLOOKUP(B24,'[1]Total store list'!$B$1:$F$66,5,0)</f>
        <v>Nguyễn Hiền An</v>
      </c>
      <c r="F24" s="30" t="str">
        <f>VLOOKUP(E24,'[1]Total store list'!$F$1:$H$66,3,0)</f>
        <v>0913527230/ 0996888889</v>
      </c>
      <c r="G24" s="30" t="str">
        <f>VLOOKUP(E24,'[1]Total store list'!$F$1:$I$66,4,0)</f>
        <v>0913527230/ 0996888889</v>
      </c>
      <c r="H24" s="18" t="s">
        <v>52</v>
      </c>
      <c r="I24" s="18" t="s">
        <v>64</v>
      </c>
      <c r="J24" s="18" t="s">
        <v>21</v>
      </c>
      <c r="K24" s="8" t="e">
        <f>VLOOKUP(B24,#REF!,15,0)</f>
        <v>#REF!</v>
      </c>
      <c r="L24" s="8">
        <v>30</v>
      </c>
      <c r="M24" s="18">
        <f>VLOOKUP(B24,[2]List!$B$2:$R$31,17,0)</f>
        <v>1</v>
      </c>
      <c r="N24" s="9">
        <f t="shared" si="0"/>
        <v>4500000</v>
      </c>
      <c r="O24" s="19">
        <f t="shared" si="1"/>
        <v>0</v>
      </c>
      <c r="P24" s="19" t="str">
        <f>VLOOKUP(B24,[3]Sheet1!$B$3:$I$48,8,0)</f>
        <v>1 x 5</v>
      </c>
      <c r="Q24" s="19">
        <v>1</v>
      </c>
      <c r="R24" s="19">
        <v>1</v>
      </c>
      <c r="S24" s="18"/>
    </row>
    <row r="25" spans="1:19" ht="23.25" x14ac:dyDescent="0.25">
      <c r="A25" s="6">
        <v>22</v>
      </c>
      <c r="B25" s="31" t="s">
        <v>68</v>
      </c>
      <c r="C25" s="18" t="s">
        <v>69</v>
      </c>
      <c r="D25" s="18" t="str">
        <f>VLOOKUP(B25,'[1]Total store list'!$B$1:$L$66,11,0)</f>
        <v>Lô 19B, số 3+5 Nguyễn Văn Linh, Quận Long Biên, Hà Nội</v>
      </c>
      <c r="E25" s="30" t="s">
        <v>171</v>
      </c>
      <c r="F25" s="30" t="str">
        <f>VLOOKUP(E25,'[1]Total store list'!$F$1:$H$66,3,0)</f>
        <v>0944999962</v>
      </c>
      <c r="G25" s="30" t="str">
        <f>VLOOKUP(E25,'[1]Total store list'!$F$1:$I$66,4,0)</f>
        <v>0944999962</v>
      </c>
      <c r="H25" s="18" t="s">
        <v>52</v>
      </c>
      <c r="I25" s="18" t="s">
        <v>64</v>
      </c>
      <c r="J25" s="18" t="s">
        <v>21</v>
      </c>
      <c r="K25" s="8" t="e">
        <f>VLOOKUP(B25,#REF!,15,0)</f>
        <v>#REF!</v>
      </c>
      <c r="L25" s="8">
        <v>100</v>
      </c>
      <c r="M25" s="18">
        <f>VLOOKUP(B25,[2]List!$B$2:$R$31,17,0)</f>
        <v>0</v>
      </c>
      <c r="N25" s="9">
        <f t="shared" si="0"/>
        <v>15000000</v>
      </c>
      <c r="O25" s="19">
        <f t="shared" si="1"/>
        <v>0</v>
      </c>
      <c r="P25" s="19" t="str">
        <f>VLOOKUP(B25,[3]Sheet1!$B$3:$I$48,8,0)</f>
        <v>1 x 5</v>
      </c>
      <c r="Q25" s="19">
        <v>1</v>
      </c>
      <c r="R25" s="19">
        <v>1</v>
      </c>
      <c r="S25" s="18"/>
    </row>
    <row r="26" spans="1:19" ht="23.25" x14ac:dyDescent="0.25">
      <c r="A26" s="6">
        <v>23</v>
      </c>
      <c r="B26" s="30" t="s">
        <v>70</v>
      </c>
      <c r="C26" s="18" t="s">
        <v>71</v>
      </c>
      <c r="D26" s="18" t="str">
        <f>VLOOKUP(B26,'[1]Total store list'!$B$1:$L$66,11,0)</f>
        <v>54 Yên Phụ, P. Nguyễn Trung Trực, Q. Ba Đình, Hà Nội</v>
      </c>
      <c r="E26" s="30" t="str">
        <f>VLOOKUP(B26,'[1]Total store list'!$B$1:$F$66,5,0)</f>
        <v>Lê Thị Kim Anh</v>
      </c>
      <c r="F26" s="30" t="str">
        <f>VLOOKUP(E26,'[1]Total store list'!$F$1:$H$66,3,0)</f>
        <v>0947889399</v>
      </c>
      <c r="G26" s="30" t="str">
        <f>VLOOKUP(E26,'[1]Total store list'!$F$1:$I$66,4,0)</f>
        <v>(024)66505157</v>
      </c>
      <c r="H26" s="18" t="s">
        <v>8</v>
      </c>
      <c r="I26" s="18" t="s">
        <v>28</v>
      </c>
      <c r="J26" s="18" t="s">
        <v>21</v>
      </c>
      <c r="K26" s="8" t="e">
        <f>VLOOKUP(B26,#REF!,15,0)</f>
        <v>#REF!</v>
      </c>
      <c r="L26" s="8">
        <v>100</v>
      </c>
      <c r="M26" s="18">
        <f>VLOOKUP(B26,[2]List!$B$2:$R$31,17,0)</f>
        <v>1</v>
      </c>
      <c r="N26" s="9">
        <f t="shared" si="0"/>
        <v>15000000</v>
      </c>
      <c r="O26" s="19">
        <f t="shared" si="1"/>
        <v>0</v>
      </c>
      <c r="P26" s="19" t="str">
        <f>VLOOKUP(B26,[3]Sheet1!$B$3:$I$48,8,0)</f>
        <v>1 x 5</v>
      </c>
      <c r="Q26" s="19">
        <v>1</v>
      </c>
      <c r="R26" s="19">
        <v>1</v>
      </c>
      <c r="S26" s="18"/>
    </row>
    <row r="27" spans="1:19" ht="23.25" x14ac:dyDescent="0.25">
      <c r="A27" s="6">
        <v>24</v>
      </c>
      <c r="B27" s="30" t="s">
        <v>72</v>
      </c>
      <c r="C27" s="18" t="s">
        <v>73</v>
      </c>
      <c r="D27" s="18" t="str">
        <f>VLOOKUP(B27,'[1]Total store list'!$B$1:$L$66,11,0)</f>
        <v>448 Lương Ngọc Quyến, P. Đồng Quang, TP. Thái Nguyên</v>
      </c>
      <c r="E27" s="30" t="str">
        <f>VLOOKUP(B27,'[1]Total store list'!$B$1:$F$66,5,0)</f>
        <v>NGUYỄN MẠNH DŨNG</v>
      </c>
      <c r="F27" s="30" t="str">
        <f>VLOOKUP(E27,'[1]Total store list'!$F$1:$H$66,3,0)</f>
        <v>0915494455</v>
      </c>
      <c r="G27" s="30" t="str">
        <f>VLOOKUP(E27,'[1]Total store list'!$F$1:$I$66,4,0)</f>
        <v>0915494455</v>
      </c>
      <c r="H27" s="18" t="s">
        <v>52</v>
      </c>
      <c r="I27" s="18" t="s">
        <v>28</v>
      </c>
      <c r="J27" s="18" t="s">
        <v>74</v>
      </c>
      <c r="K27" s="8" t="e">
        <f>VLOOKUP(B27,#REF!,15,0)</f>
        <v>#REF!</v>
      </c>
      <c r="L27" s="8">
        <v>30</v>
      </c>
      <c r="M27" s="18">
        <f>VLOOKUP(B27,[2]List!$B$2:$R$31,17,0)</f>
        <v>1</v>
      </c>
      <c r="N27" s="9">
        <f t="shared" si="0"/>
        <v>4500000</v>
      </c>
      <c r="O27" s="19">
        <f t="shared" si="1"/>
        <v>0</v>
      </c>
      <c r="P27" s="19" t="str">
        <f>VLOOKUP(B27,[3]Sheet1!$B$3:$I$48,8,0)</f>
        <v>1 x 5</v>
      </c>
      <c r="Q27" s="19">
        <v>1</v>
      </c>
      <c r="R27" s="19">
        <v>1</v>
      </c>
      <c r="S27" s="18"/>
    </row>
    <row r="28" spans="1:19" ht="46.5" x14ac:dyDescent="0.25">
      <c r="A28" s="6">
        <v>25</v>
      </c>
      <c r="B28" s="30" t="s">
        <v>75</v>
      </c>
      <c r="C28" s="18" t="s">
        <v>76</v>
      </c>
      <c r="D28" s="18" t="str">
        <f>VLOOKUP(B28,'[1]Total store list'!$B$1:$L$66,11,0)</f>
        <v>3/1 Đường 17 - Phạm Văn Đồng, phường Hiệp Bình Chánh, quận Thủ Đức (cách ngã tư Bình Triệu 200m)</v>
      </c>
      <c r="E28" s="30" t="str">
        <f>VLOOKUP(B28,'[1]Total store list'!$B$1:$F$66,5,0)</f>
        <v>Mr. Long</v>
      </c>
      <c r="F28" s="30" t="str">
        <f>VLOOKUP(E28,'[1]Total store list'!$F$1:$H$66,3,0)</f>
        <v>0909355283</v>
      </c>
      <c r="G28" s="30" t="str">
        <f>VLOOKUP(E28,'[1]Total store list'!$F$1:$I$66,4,0)</f>
        <v>(028)62842877</v>
      </c>
      <c r="H28" s="18" t="s">
        <v>52</v>
      </c>
      <c r="I28" s="18" t="s">
        <v>48</v>
      </c>
      <c r="J28" s="18" t="s">
        <v>43</v>
      </c>
      <c r="K28" s="8" t="e">
        <f>VLOOKUP(B28,#REF!,15,0)</f>
        <v>#REF!</v>
      </c>
      <c r="L28" s="8">
        <v>100</v>
      </c>
      <c r="M28" s="18">
        <f>VLOOKUP(B28,[2]List!$B$2:$R$31,17,0)</f>
        <v>1</v>
      </c>
      <c r="N28" s="9">
        <f t="shared" si="0"/>
        <v>15000000</v>
      </c>
      <c r="O28" s="19">
        <f t="shared" si="1"/>
        <v>0</v>
      </c>
      <c r="P28" s="19" t="str">
        <f>VLOOKUP(B28,[3]Sheet1!$B$3:$I$48,8,0)</f>
        <v>1 x 7.25</v>
      </c>
      <c r="Q28" s="19">
        <v>1</v>
      </c>
      <c r="R28" s="19">
        <v>1</v>
      </c>
      <c r="S28" s="18"/>
    </row>
    <row r="29" spans="1:19" ht="46.5" x14ac:dyDescent="0.25">
      <c r="A29" s="6">
        <v>26</v>
      </c>
      <c r="B29" s="31" t="s">
        <v>77</v>
      </c>
      <c r="C29" s="18" t="s">
        <v>165</v>
      </c>
      <c r="D29" s="18" t="s">
        <v>166</v>
      </c>
      <c r="E29" s="30" t="s">
        <v>172</v>
      </c>
      <c r="F29" s="30" t="str">
        <f>VLOOKUP(E29,'[1]Total store list'!$F$1:$H$66,3,0)</f>
        <v>0982479296</v>
      </c>
      <c r="G29" s="30" t="str">
        <f>VLOOKUP(E29,'[1]Total store list'!$F$1:$I$66,4,0)</f>
        <v>0982479296</v>
      </c>
      <c r="H29" s="18" t="s">
        <v>52</v>
      </c>
      <c r="I29" s="18" t="s">
        <v>9</v>
      </c>
      <c r="J29" s="18" t="s">
        <v>78</v>
      </c>
      <c r="K29" s="8" t="e">
        <f>VLOOKUP(B29,#REF!,15,0)</f>
        <v>#REF!</v>
      </c>
      <c r="L29" s="8">
        <v>50</v>
      </c>
      <c r="M29" s="18">
        <f>VLOOKUP(B29,[2]List!$B$2:$R$31,17,0)</f>
        <v>0</v>
      </c>
      <c r="N29" s="9">
        <f t="shared" si="0"/>
        <v>7500000</v>
      </c>
      <c r="O29" s="19">
        <f t="shared" si="1"/>
        <v>0</v>
      </c>
      <c r="P29" s="19" t="str">
        <f>VLOOKUP(B29,[3]Sheet1!$B$3:$I$48,8,0)</f>
        <v>1 x 5</v>
      </c>
      <c r="Q29" s="19">
        <v>1</v>
      </c>
      <c r="R29" s="19">
        <v>1</v>
      </c>
      <c r="S29" s="18"/>
    </row>
    <row r="30" spans="1:19" ht="46.5" x14ac:dyDescent="0.25">
      <c r="A30" s="6">
        <v>27</v>
      </c>
      <c r="B30" s="30" t="s">
        <v>79</v>
      </c>
      <c r="C30" s="18" t="s">
        <v>80</v>
      </c>
      <c r="D30" s="18" t="str">
        <f>VLOOKUP(B30,'[1]Total store list'!$B$1:$L$66,11,0)</f>
        <v>Số 381, khu phố 1, đường Hùng Vương, phường Đồng Tâm, Thành phố Vĩnh Yên, tỉnh Vĩnh Phúc</v>
      </c>
      <c r="E30" s="30" t="str">
        <f>VLOOKUP(B30,'[1]Total store list'!$B$1:$F$66,5,0)</f>
        <v>Ms Nhung</v>
      </c>
      <c r="F30" s="30" t="str">
        <f>VLOOKUP(E30,'[1]Total store list'!$F$1:$H$66,3,0)</f>
        <v>0945861968</v>
      </c>
      <c r="G30" s="30" t="str">
        <f>VLOOKUP(E30,'[1]Total store list'!$F$1:$I$66,4,0)</f>
        <v>0945861968</v>
      </c>
      <c r="H30" s="18" t="s">
        <v>52</v>
      </c>
      <c r="I30" s="18" t="s">
        <v>28</v>
      </c>
      <c r="J30" s="18" t="s">
        <v>81</v>
      </c>
      <c r="K30" s="8" t="e">
        <f>VLOOKUP(B30,#REF!,15,0)</f>
        <v>#REF!</v>
      </c>
      <c r="L30" s="8">
        <v>30</v>
      </c>
      <c r="M30" s="18">
        <f>VLOOKUP(B30,[2]List!$B$2:$R$31,17,0)</f>
        <v>1</v>
      </c>
      <c r="N30" s="9">
        <f t="shared" si="0"/>
        <v>4500000</v>
      </c>
      <c r="O30" s="19">
        <f t="shared" si="1"/>
        <v>0</v>
      </c>
      <c r="P30" s="19" t="str">
        <f>VLOOKUP(B30,[3]Sheet1!$B$3:$I$48,8,0)</f>
        <v>1 x 10</v>
      </c>
      <c r="Q30" s="19">
        <v>1</v>
      </c>
      <c r="R30" s="19">
        <v>1</v>
      </c>
      <c r="S30" s="18"/>
    </row>
    <row r="31" spans="1:19" ht="23.25" x14ac:dyDescent="0.25">
      <c r="A31" s="6">
        <v>28</v>
      </c>
      <c r="B31" s="30" t="s">
        <v>82</v>
      </c>
      <c r="C31" s="18" t="s">
        <v>83</v>
      </c>
      <c r="D31" s="18" t="str">
        <f>VLOOKUP(B31,'[1]Total store list'!$B$1:$L$66,11,0)</f>
        <v>Phủ Lý, Hà Nam</v>
      </c>
      <c r="E31" s="30" t="str">
        <f>VLOOKUP(B31,'[1]Total store list'!$B$1:$F$66,5,0)</f>
        <v>Nguyễn Văn Tuấn</v>
      </c>
      <c r="F31" s="30" t="str">
        <f>VLOOKUP(E31,'[1]Total store list'!$F$1:$H$66,3,0)</f>
        <v>0914899456</v>
      </c>
      <c r="G31" s="30" t="str">
        <f>VLOOKUP(E31,'[1]Total store list'!$F$1:$I$66,4,0)</f>
        <v>(0226)888058</v>
      </c>
      <c r="H31" s="18" t="s">
        <v>52</v>
      </c>
      <c r="I31" s="18" t="s">
        <v>64</v>
      </c>
      <c r="J31" s="18" t="s">
        <v>84</v>
      </c>
      <c r="K31" s="8" t="e">
        <f>VLOOKUP(B31,#REF!,15,0)</f>
        <v>#REF!</v>
      </c>
      <c r="L31" s="8">
        <v>50</v>
      </c>
      <c r="M31" s="18">
        <v>0</v>
      </c>
      <c r="N31" s="9">
        <f t="shared" si="0"/>
        <v>7500000</v>
      </c>
      <c r="O31" s="19">
        <f t="shared" si="1"/>
        <v>0</v>
      </c>
      <c r="P31" s="19" t="s">
        <v>139</v>
      </c>
      <c r="Q31" s="19">
        <v>1</v>
      </c>
      <c r="R31" s="19">
        <v>1</v>
      </c>
      <c r="S31" s="18"/>
    </row>
    <row r="32" spans="1:19" ht="69.75" x14ac:dyDescent="0.25">
      <c r="A32" s="6">
        <v>29</v>
      </c>
      <c r="B32" s="30" t="s">
        <v>85</v>
      </c>
      <c r="C32" s="18" t="s">
        <v>86</v>
      </c>
      <c r="D32" s="18" t="str">
        <f>VLOOKUP(B32,'[1]Total store list'!$B$1:$L$66,11,0)</f>
        <v>2052 quốc lộ 51, ấp Hương Phước, Phước Tân, TP. Biên Hòa, Đồng Nai, gần đường tránh Biên Hòa hay còn gọi là đường Võ Nguyên Giáp</v>
      </c>
      <c r="E32" s="30" t="str">
        <f>VLOOKUP(B32,'[1]Total store list'!$B$1:$F$66,5,0)</f>
        <v>Cường</v>
      </c>
      <c r="F32" s="30" t="str">
        <f>VLOOKUP(E32,'[1]Total store list'!$F$1:$H$66,3,0)</f>
        <v>0918326669</v>
      </c>
      <c r="G32" s="30" t="str">
        <f>VLOOKUP(E32,'[1]Total store list'!$F$1:$I$66,4,0)</f>
        <v>(0251)885888</v>
      </c>
      <c r="H32" s="18" t="s">
        <v>52</v>
      </c>
      <c r="I32" s="18" t="s">
        <v>38</v>
      </c>
      <c r="J32" s="18" t="s">
        <v>39</v>
      </c>
      <c r="K32" s="8" t="e">
        <f>VLOOKUP(B32,#REF!,15,0)</f>
        <v>#REF!</v>
      </c>
      <c r="L32" s="8">
        <v>50</v>
      </c>
      <c r="M32" s="18">
        <v>0</v>
      </c>
      <c r="N32" s="9">
        <f t="shared" si="0"/>
        <v>7500000</v>
      </c>
      <c r="O32" s="19">
        <f t="shared" si="1"/>
        <v>0</v>
      </c>
      <c r="P32" s="19" t="str">
        <f>VLOOKUP(B32,[3]Sheet1!$B$3:$I$48,8,0)</f>
        <v>1 x 6</v>
      </c>
      <c r="Q32" s="19">
        <v>1</v>
      </c>
      <c r="R32" s="19">
        <v>1</v>
      </c>
      <c r="S32" s="18"/>
    </row>
    <row r="33" spans="1:19" ht="46.5" x14ac:dyDescent="0.25">
      <c r="A33" s="6">
        <v>30</v>
      </c>
      <c r="B33" s="30" t="s">
        <v>87</v>
      </c>
      <c r="C33" s="18" t="s">
        <v>88</v>
      </c>
      <c r="D33" s="18" t="str">
        <f>VLOOKUP(B33,'[1]Total store list'!$B$1:$L$66,11,0)</f>
        <v>Tổ 22 Vành Đai 3, P. Yên Sở, Q. Hoàng Mai, Hà Nội (đối diện công viên Yên Sở, năm dưới chân cầu vượt)</v>
      </c>
      <c r="E33" s="30" t="str">
        <f>VLOOKUP(B33,'[1]Total store list'!$B$1:$F$66,5,0)</f>
        <v>NGUYỄN BÍCH THƯ/ MR HIỆP</v>
      </c>
      <c r="F33" s="18" t="str">
        <f>VLOOKUP(E33,'[1]Total store list'!$F$1:$H$66,3,0)</f>
        <v>0948929860 (Thư)/ 0946999860 (Hiệp)</v>
      </c>
      <c r="G33" s="30" t="str">
        <f>VLOOKUP(E33,'[1]Total store list'!$F$1:$I$66,4,0)</f>
        <v>(024)66757260</v>
      </c>
      <c r="H33" s="18" t="s">
        <v>52</v>
      </c>
      <c r="I33" s="18" t="s">
        <v>64</v>
      </c>
      <c r="J33" s="18" t="s">
        <v>21</v>
      </c>
      <c r="K33" s="8" t="e">
        <f>VLOOKUP(B33,#REF!,15,0)</f>
        <v>#REF!</v>
      </c>
      <c r="L33" s="8">
        <v>100</v>
      </c>
      <c r="M33" s="18">
        <v>0</v>
      </c>
      <c r="N33" s="9">
        <f t="shared" si="0"/>
        <v>15000000</v>
      </c>
      <c r="O33" s="19">
        <f t="shared" si="1"/>
        <v>0</v>
      </c>
      <c r="P33" s="19" t="str">
        <f>VLOOKUP(B33,[3]Sheet1!$B$3:$I$48,8,0)</f>
        <v>1 x 7</v>
      </c>
      <c r="Q33" s="19">
        <v>1</v>
      </c>
      <c r="R33" s="19">
        <v>1</v>
      </c>
      <c r="S33" s="18"/>
    </row>
    <row r="34" spans="1:19" ht="46.5" x14ac:dyDescent="0.25">
      <c r="A34" s="6">
        <v>31</v>
      </c>
      <c r="B34" s="39" t="s">
        <v>18</v>
      </c>
      <c r="C34" s="18" t="s">
        <v>159</v>
      </c>
      <c r="D34" s="18" t="s">
        <v>158</v>
      </c>
      <c r="E34" s="30" t="str">
        <f>VLOOKUP(B34,'[1]Total store list'!$B$1:$F$66,5,0)</f>
        <v>TRẦN THÁI PHÙNG</v>
      </c>
      <c r="F34" s="30" t="str">
        <f>VLOOKUP(E34,'[1]Total store list'!$F$1:$H$66,3,0)</f>
        <v>0913884341</v>
      </c>
      <c r="G34" s="30" t="str">
        <f>VLOOKUP(E34,'[1]Total store list'!$F$1:$I$66,4,0)</f>
        <v>0913884341</v>
      </c>
      <c r="H34" s="18" t="s">
        <v>52</v>
      </c>
      <c r="I34" s="18" t="s">
        <v>13</v>
      </c>
      <c r="J34" s="18" t="s">
        <v>19</v>
      </c>
      <c r="K34" s="8" t="s">
        <v>114</v>
      </c>
      <c r="L34" s="8" t="s">
        <v>114</v>
      </c>
      <c r="M34" s="18">
        <v>0</v>
      </c>
      <c r="N34" s="9"/>
      <c r="O34" s="19"/>
      <c r="P34" s="19" t="str">
        <f>VLOOKUP(B34,[3]Sheet1!$B$3:$I$48,8,0)</f>
        <v>1 x 5</v>
      </c>
      <c r="Q34" s="19">
        <v>1</v>
      </c>
      <c r="R34" s="19">
        <v>1</v>
      </c>
      <c r="S34" s="18"/>
    </row>
    <row r="35" spans="1:19" ht="116.25" x14ac:dyDescent="0.25">
      <c r="A35" s="6">
        <v>32</v>
      </c>
      <c r="B35" s="39" t="s">
        <v>20</v>
      </c>
      <c r="C35" s="18" t="s">
        <v>167</v>
      </c>
      <c r="D35" s="18" t="s">
        <v>157</v>
      </c>
      <c r="E35" s="30" t="s">
        <v>173</v>
      </c>
      <c r="F35" s="30" t="str">
        <f>VLOOKUP(E35,'[1]Total store list'!$F$1:$H$66,3,0)</f>
        <v>0906161685</v>
      </c>
      <c r="G35" s="30" t="str">
        <f>VLOOKUP(E35,'[1]Total store list'!$F$1:$I$66,4,0)</f>
        <v>02439421491</v>
      </c>
      <c r="H35" s="18" t="s">
        <v>52</v>
      </c>
      <c r="I35" s="18" t="s">
        <v>9</v>
      </c>
      <c r="J35" s="18" t="s">
        <v>21</v>
      </c>
      <c r="K35" s="8" t="s">
        <v>114</v>
      </c>
      <c r="L35" s="8" t="s">
        <v>114</v>
      </c>
      <c r="M35" s="18">
        <v>0</v>
      </c>
      <c r="N35" s="9"/>
      <c r="O35" s="19"/>
      <c r="P35" s="36" t="s">
        <v>139</v>
      </c>
      <c r="Q35" s="19">
        <v>1</v>
      </c>
      <c r="R35" s="19">
        <v>1</v>
      </c>
      <c r="S35" s="18" t="s">
        <v>140</v>
      </c>
    </row>
    <row r="36" spans="1:19" ht="46.5" x14ac:dyDescent="0.25">
      <c r="A36" s="6">
        <v>33</v>
      </c>
      <c r="B36" s="30" t="s">
        <v>89</v>
      </c>
      <c r="C36" s="18" t="s">
        <v>90</v>
      </c>
      <c r="D36" s="18" t="str">
        <f>VLOOKUP(B36,'[1]Total store list'!$B$1:$L$66,11,0)</f>
        <v>219 Quốc lộ 14, Phường Tân Thiện, TX. Đồng Xoài, Tỉnh Bình Phước</v>
      </c>
      <c r="E36" s="30" t="str">
        <f>VLOOKUP(B36,'[1]Total store list'!$B$1:$F$66,5,0)</f>
        <v>Trương Thị Hương</v>
      </c>
      <c r="F36" s="30" t="str">
        <f>VLOOKUP(E36,'[1]Total store list'!$F$1:$H$66,3,0)</f>
        <v>0944070707</v>
      </c>
      <c r="G36" s="30" t="str">
        <f>VLOOKUP(E36,'[1]Total store list'!$F$1:$I$66,4,0)</f>
        <v>(0271)3500309</v>
      </c>
      <c r="H36" s="18" t="s">
        <v>52</v>
      </c>
      <c r="I36" s="18" t="s">
        <v>13</v>
      </c>
      <c r="J36" s="18" t="s">
        <v>91</v>
      </c>
      <c r="K36" s="8" t="e">
        <f>VLOOKUP(B36,#REF!,15,0)</f>
        <v>#REF!</v>
      </c>
      <c r="L36" s="8">
        <v>30</v>
      </c>
      <c r="M36" s="18">
        <f>VLOOKUP(B36,[2]List!$B$2:$R$31,17,0)</f>
        <v>1</v>
      </c>
      <c r="N36" s="9">
        <f t="shared" si="0"/>
        <v>4500000</v>
      </c>
      <c r="O36" s="19">
        <f t="shared" si="1"/>
        <v>0</v>
      </c>
      <c r="P36" s="19" t="str">
        <f>VLOOKUP(B36,[3]Sheet1!$B$3:$I$48,8,0)</f>
        <v>1 x 7.5</v>
      </c>
      <c r="Q36" s="19">
        <v>1</v>
      </c>
      <c r="R36" s="19">
        <v>1</v>
      </c>
      <c r="S36" s="18"/>
    </row>
    <row r="37" spans="1:19" ht="69.75" x14ac:dyDescent="0.25">
      <c r="A37" s="6">
        <v>34</v>
      </c>
      <c r="B37" s="30" t="s">
        <v>92</v>
      </c>
      <c r="C37" s="18" t="s">
        <v>93</v>
      </c>
      <c r="D37" s="18" t="str">
        <f>VLOOKUP(B37,'[1]Total store list'!$B$1:$L$66,11,0)</f>
        <v>78 Lý Thái Tổ, Phường 2, Quận 3, Thành phố Hồ Chí Minh</v>
      </c>
      <c r="E37" s="30" t="str">
        <f>VLOOKUP(B37,'[1]Total store list'!$B$1:$F$66,5,0)</f>
        <v>NGUYỄN KẾ HOÀNG</v>
      </c>
      <c r="F37" s="30" t="str">
        <f>VLOOKUP(E37,'[1]Total store list'!$F$1:$H$66,3,0)</f>
        <v>0908877113</v>
      </c>
      <c r="G37" s="30" t="str">
        <f>VLOOKUP(E37,'[1]Total store list'!$F$1:$I$66,4,0)</f>
        <v>(028)38334487</v>
      </c>
      <c r="H37" s="18" t="s">
        <v>52</v>
      </c>
      <c r="I37" s="18" t="s">
        <v>31</v>
      </c>
      <c r="J37" s="18" t="s">
        <v>14</v>
      </c>
      <c r="K37" s="8" t="e">
        <f>VLOOKUP(B37,#REF!,15,0)</f>
        <v>#REF!</v>
      </c>
      <c r="L37" s="8">
        <v>50</v>
      </c>
      <c r="M37" s="18">
        <v>0</v>
      </c>
      <c r="N37" s="9">
        <f t="shared" si="0"/>
        <v>7500000</v>
      </c>
      <c r="O37" s="19">
        <f t="shared" si="1"/>
        <v>0</v>
      </c>
      <c r="P37" s="36" t="s">
        <v>147</v>
      </c>
      <c r="Q37" s="19">
        <v>1</v>
      </c>
      <c r="R37" s="19">
        <v>1</v>
      </c>
      <c r="S37" s="18" t="s">
        <v>151</v>
      </c>
    </row>
    <row r="38" spans="1:19" ht="23.25" x14ac:dyDescent="0.25">
      <c r="A38" s="6">
        <v>35</v>
      </c>
      <c r="B38" s="30" t="s">
        <v>94</v>
      </c>
      <c r="C38" s="18" t="s">
        <v>95</v>
      </c>
      <c r="D38" s="18" t="str">
        <f>VLOOKUP(B38,'[1]Total store list'!$B$1:$L$66,11,0)</f>
        <v>Đường Lê Văn Lương, Xã Trung Nghĩa, Thành phố Hưng Yên</v>
      </c>
      <c r="E38" s="30" t="str">
        <f>VLOOKUP(B38,'[1]Total store list'!$B$1:$F$66,5,0)</f>
        <v>Nguyễn Mạnh Trức</v>
      </c>
      <c r="F38" s="30" t="str">
        <f>VLOOKUP(E38,'[1]Total store list'!$F$1:$H$66,3,0)</f>
        <v>0913311993</v>
      </c>
      <c r="G38" s="30" t="str">
        <f>VLOOKUP(E38,'[1]Total store list'!$F$1:$I$66,4,0)</f>
        <v>0913311993</v>
      </c>
      <c r="H38" s="18" t="s">
        <v>52</v>
      </c>
      <c r="I38" s="18" t="s">
        <v>28</v>
      </c>
      <c r="J38" s="18" t="s">
        <v>96</v>
      </c>
      <c r="K38" s="8" t="e">
        <f>VLOOKUP(B38,#REF!,15,0)</f>
        <v>#REF!</v>
      </c>
      <c r="L38" s="8">
        <v>50</v>
      </c>
      <c r="M38" s="18">
        <v>0</v>
      </c>
      <c r="N38" s="9">
        <f t="shared" si="0"/>
        <v>7500000</v>
      </c>
      <c r="O38" s="19">
        <f t="shared" si="1"/>
        <v>0</v>
      </c>
      <c r="P38" s="19" t="s">
        <v>149</v>
      </c>
      <c r="Q38" s="19">
        <v>1</v>
      </c>
      <c r="R38" s="19">
        <v>1</v>
      </c>
      <c r="S38" s="18"/>
    </row>
    <row r="39" spans="1:19" ht="23.25" x14ac:dyDescent="0.25">
      <c r="A39" s="6">
        <v>36</v>
      </c>
      <c r="B39" s="30" t="s">
        <v>97</v>
      </c>
      <c r="C39" s="18" t="s">
        <v>98</v>
      </c>
      <c r="D39" s="18" t="str">
        <f>VLOOKUP(B39,'[1]Total store list'!$B$1:$L$66,11,0)</f>
        <v>92 Mai Hắc Đế, Thành phố Vinh, Nghệ An</v>
      </c>
      <c r="E39" s="30" t="str">
        <f>VLOOKUP(B39,'[1]Total store list'!$B$1:$F$66,5,0)</f>
        <v>DƯƠNG VIẾT LÊ</v>
      </c>
      <c r="F39" s="30" t="str">
        <f>VLOOKUP(E39,'[1]Total store list'!$F$1:$H$66,3,0)</f>
        <v>0915 617 777</v>
      </c>
      <c r="G39" s="30" t="str">
        <f>VLOOKUP(E39,'[1]Total store list'!$F$1:$I$66,4,0)</f>
        <v>(0238)3575599</v>
      </c>
      <c r="H39" s="18" t="s">
        <v>52</v>
      </c>
      <c r="I39" s="18" t="s">
        <v>24</v>
      </c>
      <c r="J39" s="18" t="s">
        <v>99</v>
      </c>
      <c r="K39" s="8" t="e">
        <f>VLOOKUP(B39,#REF!,15,0)</f>
        <v>#REF!</v>
      </c>
      <c r="L39" s="8">
        <v>50</v>
      </c>
      <c r="M39" s="18">
        <v>1</v>
      </c>
      <c r="N39" s="9">
        <f t="shared" si="0"/>
        <v>7500000</v>
      </c>
      <c r="O39" s="19">
        <f t="shared" si="1"/>
        <v>0</v>
      </c>
      <c r="P39" s="19" t="s">
        <v>146</v>
      </c>
      <c r="Q39" s="19">
        <v>1</v>
      </c>
      <c r="R39" s="19">
        <v>1</v>
      </c>
      <c r="S39" s="18"/>
    </row>
    <row r="40" spans="1:19" ht="46.5" x14ac:dyDescent="0.25">
      <c r="A40" s="6">
        <v>37</v>
      </c>
      <c r="B40" s="30" t="s">
        <v>100</v>
      </c>
      <c r="C40" s="18" t="s">
        <v>101</v>
      </c>
      <c r="D40" s="18" t="str">
        <f>VLOOKUP(B40,'[1]Total store list'!$B$1:$L$66,11,0)</f>
        <v>Số H1/010B, ấp Nam Sơn, Xã Quang Trung, Huyện Thống Nhất, Tỉnh Đồng Nai, Việt Nam</v>
      </c>
      <c r="E40" s="30" t="str">
        <f>VLOOKUP(B40,'[1]Total store list'!$B$1:$F$66,5,0)</f>
        <v>HỒ VĂN THANH</v>
      </c>
      <c r="F40" s="30" t="str">
        <f>VLOOKUP(E40,'[1]Total store list'!$F$1:$H$66,3,0)</f>
        <v>0909909072</v>
      </c>
      <c r="G40" s="30" t="str">
        <f>VLOOKUP(E40,'[1]Total store list'!$F$1:$I$66,4,0)</f>
        <v>0909909074</v>
      </c>
      <c r="H40" s="18" t="s">
        <v>52</v>
      </c>
      <c r="I40" s="18" t="s">
        <v>38</v>
      </c>
      <c r="J40" s="18" t="s">
        <v>39</v>
      </c>
      <c r="K40" s="8" t="e">
        <f>VLOOKUP(B40,#REF!,15,0)</f>
        <v>#REF!</v>
      </c>
      <c r="L40" s="8">
        <v>50</v>
      </c>
      <c r="M40" s="18">
        <v>0</v>
      </c>
      <c r="N40" s="9">
        <f t="shared" si="0"/>
        <v>7500000</v>
      </c>
      <c r="O40" s="19">
        <f t="shared" si="1"/>
        <v>0</v>
      </c>
      <c r="P40" s="19" t="str">
        <f>VLOOKUP(B40,[3]Sheet1!$B$3:$I$48,8,0)</f>
        <v>1 x 10</v>
      </c>
      <c r="Q40" s="19">
        <v>1</v>
      </c>
      <c r="R40" s="19">
        <v>1</v>
      </c>
      <c r="S40" s="18"/>
    </row>
    <row r="41" spans="1:19" ht="23.25" x14ac:dyDescent="0.25">
      <c r="A41" s="6">
        <v>38</v>
      </c>
      <c r="B41" s="30" t="s">
        <v>102</v>
      </c>
      <c r="C41" s="18" t="s">
        <v>103</v>
      </c>
      <c r="D41" s="18" t="str">
        <f>VLOOKUP(B41,'[1]Total store list'!$B$1:$L$66,11,0)</f>
        <v>106 Võ Chí Công, Xuân La, Tây Hồ, Hà Nội</v>
      </c>
      <c r="E41" s="30" t="str">
        <f>VLOOKUP(B41,'[1]Total store list'!$B$1:$F$66,5,0)</f>
        <v>TRẦN NGỌC XUÂN</v>
      </c>
      <c r="F41" s="30" t="str">
        <f>VLOOKUP(E41,'[1]Total store list'!$F$1:$H$66,3,0)</f>
        <v>0913517936</v>
      </c>
      <c r="G41" s="30" t="str">
        <f>VLOOKUP(E41,'[1]Total store list'!$F$1:$I$66,4,0)</f>
        <v>(0373)770136</v>
      </c>
      <c r="H41" s="18" t="s">
        <v>52</v>
      </c>
      <c r="I41" s="18" t="s">
        <v>64</v>
      </c>
      <c r="J41" s="18" t="s">
        <v>21</v>
      </c>
      <c r="K41" s="8" t="e">
        <f>VLOOKUP(B41,#REF!,15,0)</f>
        <v>#REF!</v>
      </c>
      <c r="L41" s="8">
        <v>30</v>
      </c>
      <c r="M41" s="18">
        <v>1</v>
      </c>
      <c r="N41" s="9">
        <f t="shared" si="0"/>
        <v>4500000</v>
      </c>
      <c r="O41" s="19">
        <f t="shared" si="1"/>
        <v>0</v>
      </c>
      <c r="P41" s="19" t="s">
        <v>145</v>
      </c>
      <c r="Q41" s="19">
        <v>1</v>
      </c>
      <c r="R41" s="19">
        <v>1</v>
      </c>
      <c r="S41" s="18"/>
    </row>
    <row r="42" spans="1:19" ht="23.25" x14ac:dyDescent="0.25">
      <c r="A42" s="6">
        <v>39</v>
      </c>
      <c r="B42" s="30" t="s">
        <v>104</v>
      </c>
      <c r="C42" s="18" t="s">
        <v>105</v>
      </c>
      <c r="D42" s="18" t="str">
        <f>VLOOKUP(B42,'[1]Total store list'!$B$1:$L$66,11,0)</f>
        <v>26 Nguyễn Văn Trỗi, TP. Vinh, Nghệ An</v>
      </c>
      <c r="E42" s="30" t="str">
        <f>VLOOKUP(B42,'[1]Total store list'!$B$1:$F$66,5,0)</f>
        <v>Đỗ Anh Dũng</v>
      </c>
      <c r="F42" s="30" t="str">
        <f>VLOOKUP(E42,'[1]Total store list'!$F$1:$H$66,3,0)</f>
        <v>0912 882 886</v>
      </c>
      <c r="G42" s="30" t="str">
        <f>VLOOKUP(E42,'[1]Total store list'!$F$1:$I$66,4,0)</f>
        <v>(0383)595757</v>
      </c>
      <c r="H42" s="18" t="s">
        <v>52</v>
      </c>
      <c r="I42" s="18" t="s">
        <v>24</v>
      </c>
      <c r="J42" s="18" t="s">
        <v>99</v>
      </c>
      <c r="K42" s="8" t="e">
        <f>VLOOKUP(B42,#REF!,15,0)</f>
        <v>#REF!</v>
      </c>
      <c r="L42" s="8">
        <v>30</v>
      </c>
      <c r="M42" s="18">
        <v>1</v>
      </c>
      <c r="N42" s="9">
        <f t="shared" si="0"/>
        <v>4500000</v>
      </c>
      <c r="O42" s="19">
        <f t="shared" si="1"/>
        <v>0</v>
      </c>
      <c r="P42" s="19" t="str">
        <f>VLOOKUP(B42,[3]Sheet1!$B$3:$I$48,8,0)</f>
        <v>1 x 10</v>
      </c>
      <c r="Q42" s="19">
        <v>1</v>
      </c>
      <c r="R42" s="19">
        <v>1</v>
      </c>
      <c r="S42" s="18"/>
    </row>
    <row r="43" spans="1:19" ht="46.5" x14ac:dyDescent="0.25">
      <c r="A43" s="6">
        <v>40</v>
      </c>
      <c r="B43" s="39" t="s">
        <v>68</v>
      </c>
      <c r="C43" s="18" t="s">
        <v>168</v>
      </c>
      <c r="D43" s="18" t="str">
        <f>VLOOKUP(B43,'[1]Total store list'!$B$1:$L$66,11,0)</f>
        <v>Lô 19B, số 3+5 Nguyễn Văn Linh, Quận Long Biên, Hà Nội</v>
      </c>
      <c r="E43" s="30" t="str">
        <f>VLOOKUP(B43,'[1]Total store list'!$B$1:$F$66,5,0)</f>
        <v>Phạm Viết Trung</v>
      </c>
      <c r="F43" s="30" t="str">
        <f>VLOOKUP(E43,'[1]Total store list'!$F$1:$H$66,3,0)</f>
        <v>0918910090</v>
      </c>
      <c r="G43" s="30" t="str">
        <f>VLOOKUP(E43,'[1]Total store list'!$F$1:$I$66,4,0)</f>
        <v>0918910090</v>
      </c>
      <c r="H43" s="18" t="s">
        <v>8</v>
      </c>
      <c r="I43" s="18" t="s">
        <v>64</v>
      </c>
      <c r="J43" s="18" t="s">
        <v>21</v>
      </c>
      <c r="K43" s="8" t="s">
        <v>114</v>
      </c>
      <c r="L43" s="8"/>
      <c r="M43" s="18">
        <v>1</v>
      </c>
      <c r="N43" s="9">
        <f t="shared" si="0"/>
        <v>0</v>
      </c>
      <c r="O43" s="19">
        <f t="shared" si="1"/>
        <v>0</v>
      </c>
      <c r="P43" s="19" t="str">
        <f>VLOOKUP(B43,[3]Sheet1!$B$3:$I$48,8,0)</f>
        <v>1 x 5</v>
      </c>
      <c r="Q43" s="19">
        <v>1</v>
      </c>
      <c r="R43" s="19">
        <v>1</v>
      </c>
      <c r="S43" s="18"/>
    </row>
    <row r="44" spans="1:19" ht="46.5" x14ac:dyDescent="0.25">
      <c r="A44" s="6">
        <v>41</v>
      </c>
      <c r="B44" s="30" t="s">
        <v>113</v>
      </c>
      <c r="C44" s="18" t="s">
        <v>156</v>
      </c>
      <c r="D44" s="18" t="str">
        <f>VLOOKUP(B44,'[1]Total store list'!$B$1:$L$66,11,0)</f>
        <v>666/11 khu phố Tân Hòa, phường Đông Hòa, Dĩ An, Bình Dương</v>
      </c>
      <c r="E44" s="30" t="str">
        <f>VLOOKUP(B44,'[1]Total store list'!$B$1:$F$66,5,0)</f>
        <v>Ms Dung</v>
      </c>
      <c r="F44" s="30" t="str">
        <f>VLOOKUP(E44,'[1]Total store list'!$F$1:$H$66,3,0)</f>
        <v>0904730880</v>
      </c>
      <c r="G44" s="30" t="str">
        <f>VLOOKUP(E44,'[1]Total store list'!$F$1:$I$66,4,0)</f>
        <v>0904730880</v>
      </c>
      <c r="H44" s="18" t="s">
        <v>8</v>
      </c>
      <c r="I44" s="18" t="s">
        <v>31</v>
      </c>
      <c r="J44" s="18" t="s">
        <v>14</v>
      </c>
      <c r="K44" s="8" t="e">
        <f>VLOOKUP(B44,#REF!,15,0)</f>
        <v>#REF!</v>
      </c>
      <c r="L44" s="8">
        <v>200</v>
      </c>
      <c r="M44" s="18">
        <v>1</v>
      </c>
      <c r="N44" s="9">
        <f t="shared" si="0"/>
        <v>30000000</v>
      </c>
      <c r="O44" s="19">
        <f t="shared" si="1"/>
        <v>30000000</v>
      </c>
      <c r="P44" s="19" t="s">
        <v>148</v>
      </c>
      <c r="Q44" s="19">
        <v>1</v>
      </c>
      <c r="R44" s="19">
        <v>1</v>
      </c>
      <c r="S44" s="18"/>
    </row>
    <row r="45" spans="1:19" ht="46.5" x14ac:dyDescent="0.25">
      <c r="A45" s="6">
        <v>42</v>
      </c>
      <c r="B45" s="30" t="s">
        <v>106</v>
      </c>
      <c r="C45" s="18" t="s">
        <v>107</v>
      </c>
      <c r="D45" s="18" t="str">
        <f>VLOOKUP(B45,'[1]Total store list'!$B$1:$L$66,11,0)</f>
        <v>36 Lê Thanh Nghị, Cẩm Bình, Thành phố Cẩm Phả, Quảng Ninh</v>
      </c>
      <c r="E45" s="30" t="str">
        <f>VLOOKUP(B45,'[1]Total store list'!$B$1:$F$66,5,0)</f>
        <v>Hoàng Thanh Hải</v>
      </c>
      <c r="F45" s="30" t="str">
        <f>VLOOKUP(E45,'[1]Total store list'!$F$1:$H$66,3,0)</f>
        <v>0983064073</v>
      </c>
      <c r="G45" s="30" t="str">
        <f>VLOOKUP(E45,'[1]Total store list'!$F$1:$I$66,4,0)</f>
        <v>(0203)3862915</v>
      </c>
      <c r="H45" s="18" t="s">
        <v>8</v>
      </c>
      <c r="I45" s="18" t="s">
        <v>9</v>
      </c>
      <c r="J45" s="18" t="s">
        <v>108</v>
      </c>
      <c r="K45" s="8" t="e">
        <f>VLOOKUP(B45,#REF!,15,0)</f>
        <v>#REF!</v>
      </c>
      <c r="L45" s="8">
        <v>30</v>
      </c>
      <c r="M45" s="18">
        <v>1</v>
      </c>
      <c r="N45" s="9">
        <f t="shared" si="0"/>
        <v>4500000</v>
      </c>
      <c r="O45" s="19">
        <f t="shared" si="1"/>
        <v>0</v>
      </c>
      <c r="P45" s="19" t="s">
        <v>142</v>
      </c>
      <c r="Q45" s="19">
        <v>1</v>
      </c>
      <c r="R45" s="19">
        <v>1</v>
      </c>
      <c r="S45" s="18"/>
    </row>
    <row r="46" spans="1:19" ht="46.5" x14ac:dyDescent="0.25">
      <c r="A46" s="6">
        <v>43</v>
      </c>
      <c r="B46" s="39" t="s">
        <v>77</v>
      </c>
      <c r="C46" s="18" t="s">
        <v>169</v>
      </c>
      <c r="D46" s="18" t="str">
        <f>VLOOKUP(B46,'[1]Total store list'!$B$1:$L$66,11,0)</f>
        <v>Đường 10, Vỵ Dương, Mỹ Xã, Thành phố Nam Định, Tỉnh Nam Định</v>
      </c>
      <c r="E46" s="30" t="str">
        <f>VLOOKUP(B46,'[1]Total store list'!$B$1:$F$66,5,0)</f>
        <v>Vũ Quyết Thành</v>
      </c>
      <c r="F46" s="30" t="str">
        <f>VLOOKUP(E46,'[1]Total store list'!$F$1:$H$66,3,0)</f>
        <v>0915363068</v>
      </c>
      <c r="G46" s="30" t="str">
        <f>VLOOKUP(E46,'[1]Total store list'!$F$1:$I$66,4,0)</f>
        <v>0915363068</v>
      </c>
      <c r="H46" s="18" t="s">
        <v>8</v>
      </c>
      <c r="I46" s="18" t="s">
        <v>9</v>
      </c>
      <c r="J46" s="18" t="s">
        <v>116</v>
      </c>
      <c r="K46" s="8" t="s">
        <v>114</v>
      </c>
      <c r="L46" s="8"/>
      <c r="M46" s="18">
        <v>1</v>
      </c>
      <c r="N46" s="9">
        <f t="shared" si="0"/>
        <v>0</v>
      </c>
      <c r="O46" s="19">
        <f t="shared" si="1"/>
        <v>0</v>
      </c>
      <c r="P46" s="19" t="str">
        <f>VLOOKUP(B46,[3]Sheet1!$B$3:$I$48,8,0)</f>
        <v>1 x 5</v>
      </c>
      <c r="Q46" s="19">
        <v>1</v>
      </c>
      <c r="R46" s="19">
        <v>1</v>
      </c>
      <c r="S46" s="18"/>
    </row>
    <row r="47" spans="1:19" ht="23.25" x14ac:dyDescent="0.25">
      <c r="A47" s="6">
        <v>44</v>
      </c>
      <c r="B47" s="30" t="s">
        <v>109</v>
      </c>
      <c r="C47" s="18" t="s">
        <v>110</v>
      </c>
      <c r="D47" s="18" t="str">
        <f>VLOOKUP(B47,'[1]Total store list'!$B$1:$L$66,11,0)</f>
        <v>329 Hai Bà Trưng, Thành phố Đà Lạt, tỉnh Lâm Đồng</v>
      </c>
      <c r="E47" s="30" t="str">
        <f>VLOOKUP(B47,'[1]Total store list'!$B$1:$F$66,5,0)</f>
        <v>Nguyễn Ngọc Quốc</v>
      </c>
      <c r="F47" s="30" t="str">
        <f>VLOOKUP(E47,'[1]Total store list'!$F$1:$H$66,3,0)</f>
        <v>0909186292</v>
      </c>
      <c r="G47" s="30" t="str">
        <f>VLOOKUP(E47,'[1]Total store list'!$F$1:$I$66,4,0)</f>
        <v>(0263).3818796</v>
      </c>
      <c r="H47" s="18" t="s">
        <v>8</v>
      </c>
      <c r="I47" s="18" t="s">
        <v>48</v>
      </c>
      <c r="J47" s="18" t="s">
        <v>111</v>
      </c>
      <c r="K47" s="8" t="e">
        <f>VLOOKUP(B47,#REF!,15,0)</f>
        <v>#REF!</v>
      </c>
      <c r="L47" s="8">
        <v>30</v>
      </c>
      <c r="M47" s="18">
        <v>1</v>
      </c>
      <c r="N47" s="9">
        <f>(L47/2)*300000</f>
        <v>4500000</v>
      </c>
      <c r="O47" s="19">
        <f t="shared" si="1"/>
        <v>0</v>
      </c>
      <c r="P47" s="19" t="s">
        <v>148</v>
      </c>
      <c r="Q47" s="19">
        <v>1</v>
      </c>
      <c r="R47" s="19">
        <v>1</v>
      </c>
      <c r="S47" s="18"/>
    </row>
    <row r="48" spans="1:19" ht="46.5" x14ac:dyDescent="0.35">
      <c r="A48" s="6">
        <v>45</v>
      </c>
      <c r="B48" s="30" t="s">
        <v>121</v>
      </c>
      <c r="C48" s="18" t="s">
        <v>122</v>
      </c>
      <c r="D48" s="18" t="str">
        <f>VLOOKUP(B48,'[1]Total store list'!$B$1:$L$66,11,0)</f>
        <v>Số 01 Đường số 28 Khu Trung tâm hành chính tỉnh Phường 6, Long An</v>
      </c>
      <c r="E48" s="30" t="str">
        <f>VLOOKUP(B48,'[1]Total store list'!$B$1:$F$66,5,0)</f>
        <v>NGÔ ĐÌNH KHẢI</v>
      </c>
      <c r="F48" s="30" t="str">
        <f>VLOOKUP(E48,'[1]Total store list'!$F$1:$H$66,3,0)</f>
        <v>090 909 82 82</v>
      </c>
      <c r="G48" s="30" t="str">
        <f>VLOOKUP(E48,'[1]Total store list'!$F$1:$I$66,4,0)</f>
        <v>090 909 82 82</v>
      </c>
      <c r="H48" s="18" t="s">
        <v>52</v>
      </c>
      <c r="I48" s="18" t="s">
        <v>13</v>
      </c>
      <c r="J48" s="18" t="s">
        <v>123</v>
      </c>
      <c r="K48" s="8">
        <v>0</v>
      </c>
      <c r="L48" s="8">
        <v>30</v>
      </c>
      <c r="M48" s="18">
        <v>0</v>
      </c>
      <c r="N48" s="9">
        <f>(L48/2)*300000</f>
        <v>4500000</v>
      </c>
      <c r="O48" s="19">
        <f t="shared" si="1"/>
        <v>0</v>
      </c>
      <c r="P48" s="37" t="s">
        <v>150</v>
      </c>
      <c r="Q48" s="19">
        <v>1</v>
      </c>
      <c r="R48" s="19">
        <v>1</v>
      </c>
      <c r="S48" s="18"/>
    </row>
    <row r="49" spans="1:19" ht="23.25" x14ac:dyDescent="0.25">
      <c r="A49" s="3"/>
      <c r="B49" s="29"/>
      <c r="C49" s="17"/>
      <c r="D49" s="17"/>
      <c r="E49" s="29"/>
      <c r="F49" s="29"/>
      <c r="G49" s="29"/>
      <c r="H49" s="17"/>
      <c r="I49" s="17"/>
      <c r="J49" s="20" t="s">
        <v>117</v>
      </c>
      <c r="K49" s="10" t="e">
        <f>SUM(K4:K47)</f>
        <v>#REF!</v>
      </c>
      <c r="L49" s="10">
        <f>SUM(L4:L48)</f>
        <v>3280</v>
      </c>
      <c r="M49" s="10"/>
      <c r="N49" s="11">
        <f>SUM(N4:N48)</f>
        <v>492000000</v>
      </c>
      <c r="O49" s="21">
        <f>SUM(O4:O48)</f>
        <v>240000000</v>
      </c>
      <c r="P49" s="21"/>
      <c r="Q49" s="21"/>
      <c r="R49" s="21"/>
      <c r="S49" s="22"/>
    </row>
    <row r="50" spans="1:19" ht="116.25" x14ac:dyDescent="0.25">
      <c r="A50" s="3"/>
      <c r="B50" s="29"/>
      <c r="C50" s="17"/>
      <c r="D50" s="17"/>
      <c r="E50" s="29"/>
      <c r="F50" s="29"/>
      <c r="G50" s="29"/>
      <c r="H50" s="17"/>
      <c r="I50" s="17"/>
      <c r="J50" s="17"/>
      <c r="K50" s="24" t="s">
        <v>119</v>
      </c>
      <c r="L50" s="12" t="e">
        <f>(3280-K49*1.1)*2500000</f>
        <v>#REF!</v>
      </c>
      <c r="M50" s="23"/>
      <c r="N50" s="13"/>
      <c r="O50" s="23"/>
      <c r="P50" s="23"/>
      <c r="Q50" s="23"/>
      <c r="R50" s="23"/>
      <c r="S50" s="17"/>
    </row>
    <row r="51" spans="1:19" ht="23.25" x14ac:dyDescent="0.25">
      <c r="A51" s="3"/>
      <c r="B51" s="29"/>
      <c r="C51" s="17"/>
      <c r="D51" s="17"/>
      <c r="E51" s="29"/>
      <c r="F51" s="29"/>
      <c r="G51" s="29"/>
      <c r="H51" s="17"/>
      <c r="I51" s="17"/>
      <c r="J51" s="17"/>
      <c r="K51" s="24" t="s">
        <v>124</v>
      </c>
      <c r="L51" s="12">
        <f>N49</f>
        <v>492000000</v>
      </c>
      <c r="M51" s="23"/>
      <c r="N51" s="13"/>
      <c r="O51" s="23"/>
      <c r="P51" s="23"/>
      <c r="Q51" s="23"/>
      <c r="R51" s="23"/>
      <c r="S51" s="17"/>
    </row>
    <row r="52" spans="1:19" ht="46.5" x14ac:dyDescent="0.25">
      <c r="A52" s="3"/>
      <c r="B52" s="29"/>
      <c r="C52" s="17"/>
      <c r="D52" s="17"/>
      <c r="E52" s="29"/>
      <c r="F52" s="29"/>
      <c r="G52" s="29"/>
      <c r="H52" s="17"/>
      <c r="I52" s="17"/>
      <c r="J52" s="17"/>
      <c r="K52" s="24" t="s">
        <v>125</v>
      </c>
      <c r="L52" s="12">
        <v>150000000</v>
      </c>
      <c r="M52" s="17"/>
      <c r="N52" s="7"/>
      <c r="O52" s="17"/>
      <c r="P52" s="17"/>
      <c r="Q52" s="17"/>
      <c r="R52" s="17"/>
      <c r="S52" s="17"/>
    </row>
    <row r="53" spans="1:19" ht="69.75" x14ac:dyDescent="0.25">
      <c r="A53" s="3"/>
      <c r="B53" s="29"/>
      <c r="C53" s="17"/>
      <c r="D53" s="17"/>
      <c r="E53" s="29"/>
      <c r="F53" s="29"/>
      <c r="G53" s="29"/>
      <c r="H53" s="17"/>
      <c r="I53" s="17"/>
      <c r="J53" s="17"/>
      <c r="K53" s="24" t="s">
        <v>126</v>
      </c>
      <c r="L53" s="12">
        <f>(O44*10)+S49</f>
        <v>300000000</v>
      </c>
      <c r="M53" s="25"/>
      <c r="N53" s="14"/>
      <c r="O53" s="26"/>
      <c r="P53" s="26"/>
      <c r="Q53" s="26"/>
      <c r="R53" s="26"/>
      <c r="S53" s="17"/>
    </row>
    <row r="54" spans="1:19" ht="23.25" x14ac:dyDescent="0.25">
      <c r="A54" s="3"/>
      <c r="B54" s="29"/>
      <c r="C54" s="17"/>
      <c r="D54" s="17"/>
      <c r="E54" s="29"/>
      <c r="F54" s="29"/>
      <c r="G54" s="29"/>
      <c r="H54" s="17"/>
      <c r="I54" s="17"/>
      <c r="J54" s="17"/>
      <c r="K54" s="24" t="s">
        <v>127</v>
      </c>
      <c r="L54" s="12">
        <f>SUM(L51:L53)</f>
        <v>942000000</v>
      </c>
      <c r="M54" s="17"/>
      <c r="N54" s="7"/>
      <c r="O54" s="17"/>
      <c r="P54" s="17"/>
      <c r="Q54" s="17"/>
      <c r="R54" s="17"/>
      <c r="S54" s="17"/>
    </row>
    <row r="55" spans="1:19" ht="116.25" x14ac:dyDescent="0.25">
      <c r="A55" s="3"/>
      <c r="B55" s="29"/>
      <c r="C55" s="17"/>
      <c r="D55" s="17"/>
      <c r="E55" s="29"/>
      <c r="F55" s="29"/>
      <c r="G55" s="29"/>
      <c r="H55" s="17"/>
      <c r="I55" s="17"/>
      <c r="J55" s="17"/>
      <c r="K55" s="15" t="s">
        <v>128</v>
      </c>
      <c r="L55" s="28" t="e">
        <f>(L50-L54)/L54</f>
        <v>#REF!</v>
      </c>
      <c r="M55" s="17"/>
      <c r="N55" s="7"/>
      <c r="O55" s="17"/>
      <c r="P55" s="17"/>
      <c r="Q55" s="17"/>
      <c r="R55" s="17"/>
      <c r="S55" s="17"/>
    </row>
  </sheetData>
  <autoFilter ref="A3:S52"/>
  <mergeCells count="2">
    <mergeCell ref="A1:S1"/>
    <mergeCell ref="P2:R2"/>
  </mergeCells>
  <pageMargins left="0.7" right="0.7" top="0.75" bottom="0.75" header="0.3" footer="0.3"/>
  <pageSetup paperSize="9" scale="32" fitToHeight="0" orientation="landscape" horizontalDpi="300" verticalDpi="300" r:id="rId1"/>
  <rowBreaks count="1" manualBreakCount="1"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6"/>
  <sheetViews>
    <sheetView tabSelected="1" workbookViewId="0">
      <selection activeCell="C14" sqref="C14"/>
    </sheetView>
  </sheetViews>
  <sheetFormatPr defaultRowHeight="15" x14ac:dyDescent="0.25"/>
  <cols>
    <col min="2" max="2" width="11.28515625" bestFit="1" customWidth="1"/>
    <col min="3" max="3" width="24.28515625" style="2" customWidth="1"/>
    <col min="4" max="4" width="18.85546875" bestFit="1" customWidth="1"/>
    <col min="5" max="5" width="122.140625" bestFit="1" customWidth="1"/>
  </cols>
  <sheetData>
    <row r="1" spans="2:5" x14ac:dyDescent="0.25">
      <c r="B1" s="40" t="s">
        <v>1</v>
      </c>
      <c r="C1" s="40" t="s">
        <v>175</v>
      </c>
      <c r="D1" s="40" t="s">
        <v>174</v>
      </c>
      <c r="E1" s="40" t="s">
        <v>152</v>
      </c>
    </row>
    <row r="2" spans="2:5" x14ac:dyDescent="0.25">
      <c r="B2" s="41" t="s">
        <v>97</v>
      </c>
      <c r="C2" s="41" t="s">
        <v>226</v>
      </c>
      <c r="D2" s="41" t="s">
        <v>98</v>
      </c>
      <c r="E2" s="41" t="s">
        <v>180</v>
      </c>
    </row>
    <row r="3" spans="2:5" x14ac:dyDescent="0.25">
      <c r="B3" s="41" t="s">
        <v>66</v>
      </c>
      <c r="C3" s="41" t="s">
        <v>227</v>
      </c>
      <c r="D3" s="41" t="s">
        <v>67</v>
      </c>
      <c r="E3" s="41" t="s">
        <v>181</v>
      </c>
    </row>
    <row r="4" spans="2:5" x14ac:dyDescent="0.25">
      <c r="B4" s="41" t="s">
        <v>106</v>
      </c>
      <c r="C4" s="41" t="s">
        <v>228</v>
      </c>
      <c r="D4" s="41" t="s">
        <v>107</v>
      </c>
      <c r="E4" s="41" t="s">
        <v>182</v>
      </c>
    </row>
    <row r="5" spans="2:5" x14ac:dyDescent="0.25">
      <c r="B5" s="41" t="s">
        <v>176</v>
      </c>
      <c r="C5" s="41" t="s">
        <v>229</v>
      </c>
      <c r="D5" s="41" t="s">
        <v>165</v>
      </c>
      <c r="E5" s="41" t="s">
        <v>166</v>
      </c>
    </row>
    <row r="6" spans="2:5" x14ac:dyDescent="0.25">
      <c r="B6" s="41" t="s">
        <v>177</v>
      </c>
      <c r="C6" s="41" t="s">
        <v>230</v>
      </c>
      <c r="D6" s="41" t="s">
        <v>169</v>
      </c>
      <c r="E6" s="41" t="s">
        <v>219</v>
      </c>
    </row>
    <row r="7" spans="2:5" x14ac:dyDescent="0.25">
      <c r="B7" s="41" t="s">
        <v>22</v>
      </c>
      <c r="C7" s="41" t="s">
        <v>231</v>
      </c>
      <c r="D7" s="41" t="s">
        <v>23</v>
      </c>
      <c r="E7" s="41" t="s">
        <v>183</v>
      </c>
    </row>
    <row r="8" spans="2:5" x14ac:dyDescent="0.25">
      <c r="B8" s="41" t="s">
        <v>87</v>
      </c>
      <c r="C8" s="41" t="s">
        <v>232</v>
      </c>
      <c r="D8" s="41" t="s">
        <v>88</v>
      </c>
      <c r="E8" s="41" t="s">
        <v>184</v>
      </c>
    </row>
    <row r="9" spans="2:5" x14ac:dyDescent="0.25">
      <c r="B9" s="41" t="s">
        <v>26</v>
      </c>
      <c r="C9" s="41" t="s">
        <v>233</v>
      </c>
      <c r="D9" s="41" t="s">
        <v>27</v>
      </c>
      <c r="E9" s="41" t="s">
        <v>185</v>
      </c>
    </row>
    <row r="10" spans="2:5" x14ac:dyDescent="0.25">
      <c r="B10" s="41" t="s">
        <v>50</v>
      </c>
      <c r="C10" s="41" t="s">
        <v>234</v>
      </c>
      <c r="D10" s="41" t="s">
        <v>51</v>
      </c>
      <c r="E10" s="41" t="s">
        <v>186</v>
      </c>
    </row>
    <row r="11" spans="2:5" x14ac:dyDescent="0.25">
      <c r="B11" s="41" t="s">
        <v>220</v>
      </c>
      <c r="C11" s="41" t="s">
        <v>235</v>
      </c>
      <c r="D11" s="41" t="s">
        <v>69</v>
      </c>
      <c r="E11" s="41" t="s">
        <v>187</v>
      </c>
    </row>
    <row r="12" spans="2:5" x14ac:dyDescent="0.25">
      <c r="B12" s="41" t="s">
        <v>221</v>
      </c>
      <c r="C12" s="41" t="s">
        <v>236</v>
      </c>
      <c r="D12" s="41" t="s">
        <v>168</v>
      </c>
      <c r="E12" s="41" t="s">
        <v>187</v>
      </c>
    </row>
    <row r="13" spans="2:5" x14ac:dyDescent="0.25">
      <c r="B13" s="41" t="s">
        <v>70</v>
      </c>
      <c r="C13" s="41" t="s">
        <v>237</v>
      </c>
      <c r="D13" s="41" t="s">
        <v>71</v>
      </c>
      <c r="E13" s="41" t="s">
        <v>188</v>
      </c>
    </row>
    <row r="14" spans="2:5" x14ac:dyDescent="0.25">
      <c r="B14" s="41" t="s">
        <v>54</v>
      </c>
      <c r="C14" s="41" t="s">
        <v>238</v>
      </c>
      <c r="D14" s="41" t="s">
        <v>55</v>
      </c>
      <c r="E14" s="41" t="s">
        <v>189</v>
      </c>
    </row>
    <row r="15" spans="2:5" x14ac:dyDescent="0.25">
      <c r="B15" s="41" t="s">
        <v>57</v>
      </c>
      <c r="C15" s="41" t="s">
        <v>239</v>
      </c>
      <c r="D15" s="41" t="s">
        <v>58</v>
      </c>
      <c r="E15" s="41" t="s">
        <v>190</v>
      </c>
    </row>
    <row r="16" spans="2:5" x14ac:dyDescent="0.25">
      <c r="B16" s="41" t="s">
        <v>121</v>
      </c>
      <c r="C16" s="41" t="s">
        <v>240</v>
      </c>
      <c r="D16" s="41" t="s">
        <v>122</v>
      </c>
      <c r="E16" s="41" t="s">
        <v>191</v>
      </c>
    </row>
    <row r="17" spans="2:5" x14ac:dyDescent="0.25">
      <c r="B17" s="41" t="s">
        <v>94</v>
      </c>
      <c r="C17" s="41" t="s">
        <v>241</v>
      </c>
      <c r="D17" s="41" t="s">
        <v>95</v>
      </c>
      <c r="E17" s="41" t="s">
        <v>192</v>
      </c>
    </row>
    <row r="18" spans="2:5" x14ac:dyDescent="0.25">
      <c r="B18" s="41" t="s">
        <v>102</v>
      </c>
      <c r="C18" s="41" t="s">
        <v>242</v>
      </c>
      <c r="D18" s="41" t="s">
        <v>103</v>
      </c>
      <c r="E18" s="41" t="s">
        <v>193</v>
      </c>
    </row>
    <row r="19" spans="2:5" x14ac:dyDescent="0.25">
      <c r="B19" s="41" t="s">
        <v>72</v>
      </c>
      <c r="C19" s="41" t="s">
        <v>243</v>
      </c>
      <c r="D19" s="41" t="s">
        <v>73</v>
      </c>
      <c r="E19" s="41" t="s">
        <v>194</v>
      </c>
    </row>
    <row r="20" spans="2:5" x14ac:dyDescent="0.25">
      <c r="B20" s="41" t="s">
        <v>6</v>
      </c>
      <c r="C20" s="41" t="s">
        <v>244</v>
      </c>
      <c r="D20" s="41" t="s">
        <v>7</v>
      </c>
      <c r="E20" s="41" t="s">
        <v>195</v>
      </c>
    </row>
    <row r="21" spans="2:5" x14ac:dyDescent="0.25">
      <c r="B21" s="41" t="s">
        <v>113</v>
      </c>
      <c r="C21" s="41" t="s">
        <v>245</v>
      </c>
      <c r="D21" s="41" t="s">
        <v>156</v>
      </c>
      <c r="E21" s="41" t="s">
        <v>196</v>
      </c>
    </row>
    <row r="22" spans="2:5" x14ac:dyDescent="0.25">
      <c r="B22" s="41" t="s">
        <v>85</v>
      </c>
      <c r="C22" s="41" t="s">
        <v>246</v>
      </c>
      <c r="D22" s="41" t="s">
        <v>86</v>
      </c>
      <c r="E22" s="41" t="s">
        <v>197</v>
      </c>
    </row>
    <row r="23" spans="2:5" x14ac:dyDescent="0.25">
      <c r="B23" s="41" t="s">
        <v>11</v>
      </c>
      <c r="C23" s="41" t="s">
        <v>247</v>
      </c>
      <c r="D23" s="41" t="s">
        <v>12</v>
      </c>
      <c r="E23" s="41" t="s">
        <v>198</v>
      </c>
    </row>
    <row r="24" spans="2:5" x14ac:dyDescent="0.25">
      <c r="B24" s="41" t="s">
        <v>29</v>
      </c>
      <c r="C24" s="41" t="s">
        <v>248</v>
      </c>
      <c r="D24" s="41" t="s">
        <v>30</v>
      </c>
      <c r="E24" s="41" t="s">
        <v>199</v>
      </c>
    </row>
    <row r="25" spans="2:5" x14ac:dyDescent="0.25">
      <c r="B25" s="41" t="s">
        <v>60</v>
      </c>
      <c r="C25" s="41" t="s">
        <v>249</v>
      </c>
      <c r="D25" s="41" t="s">
        <v>61</v>
      </c>
      <c r="E25" s="41" t="s">
        <v>200</v>
      </c>
    </row>
    <row r="26" spans="2:5" x14ac:dyDescent="0.25">
      <c r="B26" s="41" t="s">
        <v>79</v>
      </c>
      <c r="C26" s="41" t="s">
        <v>250</v>
      </c>
      <c r="D26" s="41" t="s">
        <v>80</v>
      </c>
      <c r="E26" s="41" t="s">
        <v>201</v>
      </c>
    </row>
    <row r="27" spans="2:5" x14ac:dyDescent="0.25">
      <c r="B27" s="41" t="s">
        <v>109</v>
      </c>
      <c r="C27" s="41" t="s">
        <v>251</v>
      </c>
      <c r="D27" s="41" t="s">
        <v>110</v>
      </c>
      <c r="E27" s="41" t="s">
        <v>202</v>
      </c>
    </row>
    <row r="28" spans="2:5" x14ac:dyDescent="0.25">
      <c r="B28" s="41" t="s">
        <v>62</v>
      </c>
      <c r="C28" s="41" t="s">
        <v>252</v>
      </c>
      <c r="D28" s="41" t="s">
        <v>63</v>
      </c>
      <c r="E28" s="41" t="s">
        <v>203</v>
      </c>
    </row>
    <row r="29" spans="2:5" x14ac:dyDescent="0.25">
      <c r="B29" s="41" t="s">
        <v>46</v>
      </c>
      <c r="C29" s="41" t="s">
        <v>253</v>
      </c>
      <c r="D29" s="41" t="s">
        <v>47</v>
      </c>
      <c r="E29" s="41" t="s">
        <v>204</v>
      </c>
    </row>
    <row r="30" spans="2:5" x14ac:dyDescent="0.25">
      <c r="B30" s="41" t="s">
        <v>100</v>
      </c>
      <c r="C30" s="41" t="s">
        <v>254</v>
      </c>
      <c r="D30" s="41" t="s">
        <v>101</v>
      </c>
      <c r="E30" s="41" t="s">
        <v>205</v>
      </c>
    </row>
    <row r="31" spans="2:5" x14ac:dyDescent="0.25">
      <c r="B31" s="41" t="s">
        <v>89</v>
      </c>
      <c r="C31" s="41" t="s">
        <v>255</v>
      </c>
      <c r="D31" s="41" t="s">
        <v>90</v>
      </c>
      <c r="E31" s="41" t="s">
        <v>206</v>
      </c>
    </row>
    <row r="32" spans="2:5" x14ac:dyDescent="0.25">
      <c r="B32" s="41" t="s">
        <v>75</v>
      </c>
      <c r="C32" s="41" t="s">
        <v>256</v>
      </c>
      <c r="D32" s="41" t="s">
        <v>76</v>
      </c>
      <c r="E32" s="41" t="s">
        <v>207</v>
      </c>
    </row>
    <row r="33" spans="2:5" x14ac:dyDescent="0.25">
      <c r="B33" s="41" t="s">
        <v>104</v>
      </c>
      <c r="C33" s="41" t="s">
        <v>257</v>
      </c>
      <c r="D33" s="41" t="s">
        <v>105</v>
      </c>
      <c r="E33" s="41" t="s">
        <v>208</v>
      </c>
    </row>
    <row r="34" spans="2:5" x14ac:dyDescent="0.25">
      <c r="B34" s="41" t="s">
        <v>33</v>
      </c>
      <c r="C34" s="41" t="s">
        <v>258</v>
      </c>
      <c r="D34" s="41" t="s">
        <v>34</v>
      </c>
      <c r="E34" s="41" t="s">
        <v>209</v>
      </c>
    </row>
    <row r="35" spans="2:5" x14ac:dyDescent="0.25">
      <c r="B35" s="41" t="s">
        <v>15</v>
      </c>
      <c r="C35" s="41" t="s">
        <v>259</v>
      </c>
      <c r="D35" s="41" t="s">
        <v>16</v>
      </c>
      <c r="E35" s="41" t="s">
        <v>210</v>
      </c>
    </row>
    <row r="36" spans="2:5" x14ac:dyDescent="0.25">
      <c r="B36" s="41" t="s">
        <v>36</v>
      </c>
      <c r="C36" s="41" t="s">
        <v>260</v>
      </c>
      <c r="D36" s="41" t="s">
        <v>37</v>
      </c>
      <c r="E36" s="41" t="s">
        <v>211</v>
      </c>
    </row>
    <row r="37" spans="2:5" x14ac:dyDescent="0.25">
      <c r="B37" s="41" t="s">
        <v>178</v>
      </c>
      <c r="C37" s="41" t="s">
        <v>261</v>
      </c>
      <c r="D37" s="41" t="s">
        <v>160</v>
      </c>
      <c r="E37" s="41" t="s">
        <v>212</v>
      </c>
    </row>
    <row r="38" spans="2:5" x14ac:dyDescent="0.25">
      <c r="B38" s="41" t="s">
        <v>179</v>
      </c>
      <c r="C38" s="41" t="s">
        <v>262</v>
      </c>
      <c r="D38" s="41" t="s">
        <v>159</v>
      </c>
      <c r="E38" s="41" t="s">
        <v>158</v>
      </c>
    </row>
    <row r="39" spans="2:5" x14ac:dyDescent="0.25">
      <c r="B39" s="41" t="s">
        <v>40</v>
      </c>
      <c r="C39" s="41" t="s">
        <v>263</v>
      </c>
      <c r="D39" s="41" t="s">
        <v>41</v>
      </c>
      <c r="E39" s="41" t="s">
        <v>213</v>
      </c>
    </row>
    <row r="40" spans="2:5" x14ac:dyDescent="0.25">
      <c r="B40" s="41" t="s">
        <v>82</v>
      </c>
      <c r="C40" s="41" t="s">
        <v>264</v>
      </c>
      <c r="D40" s="41" t="s">
        <v>83</v>
      </c>
      <c r="E40" s="41" t="s">
        <v>214</v>
      </c>
    </row>
    <row r="41" spans="2:5" x14ac:dyDescent="0.25">
      <c r="B41" s="41" t="s">
        <v>92</v>
      </c>
      <c r="C41" s="41" t="s">
        <v>265</v>
      </c>
      <c r="D41" s="41" t="s">
        <v>93</v>
      </c>
      <c r="E41" s="41" t="s">
        <v>215</v>
      </c>
    </row>
    <row r="42" spans="2:5" x14ac:dyDescent="0.25">
      <c r="B42" s="41" t="s">
        <v>44</v>
      </c>
      <c r="C42" s="41" t="s">
        <v>266</v>
      </c>
      <c r="D42" s="41" t="s">
        <v>45</v>
      </c>
      <c r="E42" s="41" t="s">
        <v>216</v>
      </c>
    </row>
    <row r="43" spans="2:5" x14ac:dyDescent="0.25">
      <c r="B43" s="41" t="s">
        <v>222</v>
      </c>
      <c r="C43" s="41" t="s">
        <v>267</v>
      </c>
      <c r="D43" s="41" t="s">
        <v>161</v>
      </c>
      <c r="E43" s="41" t="s">
        <v>217</v>
      </c>
    </row>
    <row r="44" spans="2:5" x14ac:dyDescent="0.25">
      <c r="B44" s="41" t="s">
        <v>223</v>
      </c>
      <c r="C44" s="41" t="s">
        <v>268</v>
      </c>
      <c r="D44" s="41" t="s">
        <v>167</v>
      </c>
      <c r="E44" s="41" t="s">
        <v>157</v>
      </c>
    </row>
    <row r="45" spans="2:5" x14ac:dyDescent="0.25">
      <c r="B45" s="41" t="s">
        <v>224</v>
      </c>
      <c r="C45" s="41" t="s">
        <v>269</v>
      </c>
      <c r="D45" s="41" t="s">
        <v>162</v>
      </c>
      <c r="E45" s="41" t="s">
        <v>164</v>
      </c>
    </row>
    <row r="46" spans="2:5" x14ac:dyDescent="0.25">
      <c r="B46" s="41" t="s">
        <v>225</v>
      </c>
      <c r="C46" s="41" t="s">
        <v>270</v>
      </c>
      <c r="D46" s="41" t="s">
        <v>163</v>
      </c>
      <c r="E46" s="41" t="s">
        <v>218</v>
      </c>
    </row>
  </sheetData>
  <autoFilter ref="B1:E46">
    <sortState ref="B2:E46">
      <sortCondition ref="B1:B46"/>
    </sortState>
  </autoFilter>
  <conditionalFormatting sqref="B2:B4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sach POSM FC promotion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 Thi Dan</dc:creator>
  <cp:lastModifiedBy>XuanAn Nguyen</cp:lastModifiedBy>
  <cp:lastPrinted>2018-03-12T10:39:34Z</cp:lastPrinted>
  <dcterms:created xsi:type="dcterms:W3CDTF">2018-02-27T03:34:01Z</dcterms:created>
  <dcterms:modified xsi:type="dcterms:W3CDTF">2018-04-10T11:42:14Z</dcterms:modified>
</cp:coreProperties>
</file>